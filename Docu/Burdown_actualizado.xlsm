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Escritorio\Convinaciones\"/>
    </mc:Choice>
  </mc:AlternateContent>
  <xr:revisionPtr revIDLastSave="0" documentId="13_ncr:1_{E2CC52E1-0580-4463-93F8-37DA24FBE326}" xr6:coauthVersionLast="45" xr6:coauthVersionMax="45" xr10:uidLastSave="{00000000-0000-0000-0000-000000000000}"/>
  <bookViews>
    <workbookView xWindow="-108" yWindow="-108" windowWidth="23256" windowHeight="13176" tabRatio="522" firstSheet="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oficial'!$A$14:$AD$70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oficial'!$D$14:$D$64</definedName>
    <definedName name="TaskStoryID" localSheetId="4">'Backlog de ejemplo'!$B$14:$B$53</definedName>
    <definedName name="TaskStoryID">'Backlog oficial'!$B$14:$B$59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62" i="16" s="1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0" i="16"/>
  <c r="F60" i="16"/>
  <c r="D61" i="16"/>
  <c r="F61" i="16"/>
  <c r="D62" i="16"/>
  <c r="F62" i="16"/>
  <c r="D70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61" i="16"/>
  <c r="B5" i="7"/>
  <c r="D5" i="7" s="1"/>
  <c r="D4" i="7"/>
  <c r="P10" i="16"/>
  <c r="T10" i="16"/>
  <c r="B19" i="7"/>
  <c r="D18" i="7"/>
  <c r="H11" i="16" l="1"/>
  <c r="I14" i="16"/>
  <c r="H61" i="16"/>
  <c r="H62" i="16"/>
  <c r="B20" i="7"/>
  <c r="D19" i="7"/>
  <c r="F11" i="16"/>
  <c r="G11" i="16"/>
  <c r="B21" i="7" l="1"/>
  <c r="D20" i="7"/>
  <c r="I11" i="16"/>
  <c r="I62" i="16"/>
  <c r="J14" i="16"/>
  <c r="I61" i="16"/>
  <c r="J61" i="16" l="1"/>
  <c r="J11" i="16"/>
  <c r="J62" i="16"/>
  <c r="K14" i="16"/>
  <c r="D21" i="7"/>
  <c r="B22" i="7"/>
  <c r="L14" i="16" l="1"/>
  <c r="K61" i="16"/>
  <c r="K11" i="16"/>
  <c r="K62" i="16"/>
  <c r="D22" i="7"/>
  <c r="A22" i="7"/>
  <c r="E22" i="7" s="1"/>
  <c r="B23" i="7"/>
  <c r="L11" i="16" l="1"/>
  <c r="M14" i="16"/>
  <c r="L61" i="16"/>
  <c r="L62" i="16"/>
  <c r="B24" i="7"/>
  <c r="A23" i="7"/>
  <c r="E23" i="7" s="1"/>
  <c r="D23" i="7"/>
  <c r="M11" i="16" l="1"/>
  <c r="M62" i="16"/>
  <c r="N14" i="16"/>
  <c r="M61" i="16"/>
  <c r="B25" i="7"/>
  <c r="D24" i="7"/>
  <c r="A24" i="7"/>
  <c r="E24" i="7" s="1"/>
  <c r="N61" i="16" l="1"/>
  <c r="N11" i="16"/>
  <c r="N62" i="16"/>
  <c r="O14" i="16"/>
  <c r="D25" i="7"/>
  <c r="A25" i="7"/>
  <c r="E25" i="7" s="1"/>
  <c r="B26" i="7"/>
  <c r="P14" i="16" l="1"/>
  <c r="O61" i="16"/>
  <c r="O11" i="16"/>
  <c r="O62" i="16"/>
  <c r="D26" i="7"/>
  <c r="A26" i="7"/>
  <c r="E26" i="7" s="1"/>
  <c r="B27" i="7"/>
  <c r="P11" i="16" l="1"/>
  <c r="Q14" i="16"/>
  <c r="P61" i="16"/>
  <c r="P62" i="16"/>
  <c r="B28" i="7"/>
  <c r="A27" i="7"/>
  <c r="E27" i="7" s="1"/>
  <c r="D27" i="7"/>
  <c r="Q11" i="16" l="1"/>
  <c r="Q62" i="16"/>
  <c r="R14" i="16"/>
  <c r="Q61" i="16"/>
  <c r="B29" i="7"/>
  <c r="D28" i="7"/>
  <c r="A28" i="7"/>
  <c r="E28" i="7" s="1"/>
  <c r="R61" i="16" l="1"/>
  <c r="R11" i="16"/>
  <c r="R62" i="16"/>
  <c r="S14" i="16"/>
  <c r="D29" i="7"/>
  <c r="A29" i="7"/>
  <c r="E29" i="7" s="1"/>
  <c r="B30" i="7"/>
  <c r="T14" i="16" l="1"/>
  <c r="S61" i="16"/>
  <c r="S62" i="16"/>
  <c r="S11" i="16"/>
  <c r="D30" i="7"/>
  <c r="A30" i="7"/>
  <c r="E30" i="7" s="1"/>
  <c r="T11" i="16" l="1"/>
  <c r="U14" i="16"/>
  <c r="T61" i="16"/>
  <c r="T62" i="16"/>
  <c r="U11" i="16" l="1"/>
  <c r="U62" i="16"/>
  <c r="V14" i="16"/>
  <c r="U61" i="16"/>
  <c r="V61" i="16" l="1"/>
  <c r="V11" i="16"/>
  <c r="V62" i="16"/>
  <c r="W14" i="16"/>
  <c r="X14" i="16" l="1"/>
  <c r="W61" i="16"/>
  <c r="W62" i="16"/>
  <c r="W11" i="16"/>
  <c r="X11" i="16" l="1"/>
  <c r="Y14" i="16"/>
  <c r="Z14" i="16" s="1"/>
  <c r="AA14" i="16" s="1"/>
  <c r="AB14" i="16" s="1"/>
  <c r="AC14" i="16" s="1"/>
  <c r="AD14" i="16" s="1"/>
  <c r="X62" i="16"/>
  <c r="X63" i="16"/>
  <c r="Y11" i="16" l="1"/>
  <c r="Y63" i="16"/>
  <c r="Y62" i="16"/>
  <c r="Z62" i="16" l="1"/>
  <c r="Z11" i="16"/>
  <c r="Z63" i="16"/>
  <c r="AA62" i="16" l="1"/>
  <c r="AA11" i="16"/>
  <c r="AA63" i="16"/>
  <c r="AB11" i="16" l="1"/>
  <c r="AB62" i="16"/>
  <c r="AB63" i="16"/>
  <c r="AC11" i="16" l="1"/>
  <c r="AC64" i="16"/>
  <c r="AC65" i="16"/>
  <c r="AC6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3" i="16"/>
  <c r="AC62" i="16"/>
  <c r="AC10" i="16" l="1"/>
  <c r="AD11" i="16"/>
  <c r="AD64" i="16"/>
  <c r="AD65" i="16"/>
  <c r="AD6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3" i="16"/>
  <c r="AD62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<sst xmlns="http://schemas.openxmlformats.org/spreadsheetml/2006/main" count="233" uniqueCount="108">
  <si>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</si>
  <si>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</si>
  <si>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</si>
  <si>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</si>
  <si>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</si>
  <si>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</si>
  <si>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</si>
  <si>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</si>
  <si>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</si>
  <si>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</si>
  <si>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</si>
  <si>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</si>
  <si>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</si>
  <si>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</si>
  <si>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</si>
  <si>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</si>
  <si>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</si>
  <si>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</si>
  <si>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</si>
  <si>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</si>
  <si>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</si>
  <si>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</si>
  <si>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</si>
  <si>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</si>
  <si>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</si>
  <si>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</si>
  <si>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</si>
  <si>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</si>
  <si>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</si>
  <si>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</si>
  <si>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</si>
  <si>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</si>
  <si>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</si>
  <si>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</si>
  <si>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</si>
  <si>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</si>
  <si>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</si>
  <si>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</si>
  <si>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</si>
  <si>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</si>
  <si>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</si>
  <si>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</si>
  <si>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</si>
  <si>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</si>
  <si>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</si>
  <si>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</si>
  <si>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</si>
  <si>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</si>
  <si>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</si>
  <si>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</si>
  <si>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</si>
  <si>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</si>
  <si>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</si>
  <si>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</si>
  <si>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</si>
  <si>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</si>
  <si>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</si>
  <si>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</si>
  <si>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</si>
  <si>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</si>
  <si>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</si>
  <si>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</si>
  <si>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</si>
  <si>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</si>
  <si>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</si>
  <si>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</si>
  <si>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</si>
  <si>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</si>
  <si>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</si>
  <si>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</si>
  <si>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</si>
  <si>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</si>
  <si>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</si>
  <si>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</si>
  <si>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</si>
  <si>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</si>
  <si>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</si>
  <si>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</si>
  <si>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</si>
  <si>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</si>
  <si>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</si>
  <si>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HU11- recibir alarma tratamiento</t>
  </si>
  <si>
    <t>HU12 - confirmar tratamiento</t>
  </si>
  <si>
    <t>HU06 - seguimiento tratamiento</t>
  </si>
  <si>
    <t>diseñar interfaz usuario tratamiento</t>
  </si>
  <si>
    <t>prubas de aceptacion</t>
  </si>
  <si>
    <t>documentacion</t>
  </si>
  <si>
    <t>liberar alfa</t>
  </si>
  <si>
    <t>poblar BD</t>
  </si>
  <si>
    <t>crear, editar, y borrar tratamientos</t>
  </si>
  <si>
    <t>crear interfaz tratamiento</t>
  </si>
  <si>
    <t>HU10 - admin tratamiento</t>
  </si>
  <si>
    <t>HU16 - visualizar tratamiento(vista rapida)</t>
  </si>
  <si>
    <t>crear interfaz alarma</t>
  </si>
  <si>
    <t>implementar agenda</t>
  </si>
  <si>
    <t>implementar alarma tratamiento</t>
  </si>
  <si>
    <t>implementar backend confirmar tratamiento</t>
  </si>
  <si>
    <t>implementar BD tratamientos</t>
  </si>
  <si>
    <t>implementar BD Paciente</t>
  </si>
  <si>
    <t>diseñar interfaz agenda</t>
  </si>
  <si>
    <t>Dannitt</t>
  </si>
  <si>
    <t>Mario</t>
  </si>
  <si>
    <t>Implementar interfaz</t>
  </si>
  <si>
    <t>All</t>
  </si>
  <si>
    <t>Implementar background</t>
  </si>
  <si>
    <t>BackGround Sentinel</t>
  </si>
  <si>
    <t>Implementar listener de notificaciones</t>
  </si>
  <si>
    <t>Issue background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</si>
</sst>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2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8" fillId="0" borderId="0" xfId="0" applyFont="1" applyFill="1"/>
    <xf numFmtId="0" fontId="0" fillId="9" borderId="0" xfId="0" applyFill="1"/>
    <xf numFmtId="0" fontId="20" fillId="0" borderId="0" xfId="0" applyFont="1"/>
    <xf numFmtId="0" fontId="8" fillId="0" borderId="0" xfId="0" applyFont="1" applyAlignment="1">
      <alignment vertical="center" wrapText="1"/>
    </xf>
    <xf numFmtId="0" fontId="21" fillId="10" borderId="0" xfId="0" applyFont="1" applyFill="1"/>
    <xf numFmtId="0" fontId="12" fillId="4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16" xfId="1" applyFont="1" applyFill="1" applyBorder="1" applyAlignment="1">
      <alignment horizontal="center" vertical="center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0" xfId="0" applyAlignment="1">
      <alignment horizontal="center"/>
    </xf>
    <xf numFmtId="0" fontId="19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19" fillId="0" borderId="0" xfId="0" applyFont="1"/>
    <xf numFmtId="0" fontId="20" fillId="0" borderId="0" xfId="0" applyFont="1"/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7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175</c:v>
                </c:pt>
                <c:pt idx="1">
                  <c:v>175</c:v>
                </c:pt>
                <c:pt idx="2">
                  <c:v>171</c:v>
                </c:pt>
                <c:pt idx="3">
                  <c:v>169</c:v>
                </c:pt>
                <c:pt idx="4">
                  <c:v>154</c:v>
                </c:pt>
                <c:pt idx="5">
                  <c:v>148</c:v>
                </c:pt>
                <c:pt idx="6">
                  <c:v>137</c:v>
                </c:pt>
                <c:pt idx="7">
                  <c:v>134</c:v>
                </c:pt>
                <c:pt idx="8">
                  <c:v>135</c:v>
                </c:pt>
                <c:pt idx="9">
                  <c:v>132</c:v>
                </c:pt>
                <c:pt idx="10">
                  <c:v>130</c:v>
                </c:pt>
                <c:pt idx="11">
                  <c:v>130</c:v>
                </c:pt>
                <c:pt idx="12">
                  <c:v>129</c:v>
                </c:pt>
                <c:pt idx="13">
                  <c:v>129</c:v>
                </c:pt>
                <c:pt idx="14">
                  <c:v>121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116</c:v>
                </c:pt>
                <c:pt idx="19">
                  <c:v>113</c:v>
                </c:pt>
                <c:pt idx="20">
                  <c:v>107</c:v>
                </c:pt>
                <c:pt idx="21">
                  <c:v>107</c:v>
                </c:pt>
                <c:pt idx="22">
                  <c:v>104</c:v>
                </c:pt>
                <c:pt idx="23">
                  <c:v>102</c:v>
                </c:pt>
                <c:pt idx="2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179</c:v>
                </c:pt>
                <c:pt idx="1">
                  <c:v>171.84</c:v>
                </c:pt>
                <c:pt idx="2">
                  <c:v>164.68</c:v>
                </c:pt>
                <c:pt idx="3">
                  <c:v>157.52000000000001</c:v>
                </c:pt>
                <c:pt idx="4">
                  <c:v>150.36000000000001</c:v>
                </c:pt>
                <c:pt idx="5">
                  <c:v>143.19999999999999</c:v>
                </c:pt>
                <c:pt idx="6">
                  <c:v>136.04</c:v>
                </c:pt>
                <c:pt idx="7">
                  <c:v>128.88</c:v>
                </c:pt>
                <c:pt idx="8">
                  <c:v>121.72</c:v>
                </c:pt>
                <c:pt idx="9">
                  <c:v>114.56</c:v>
                </c:pt>
                <c:pt idx="10">
                  <c:v>107.4</c:v>
                </c:pt>
                <c:pt idx="11">
                  <c:v>100.24</c:v>
                </c:pt>
                <c:pt idx="12">
                  <c:v>93.08</c:v>
                </c:pt>
                <c:pt idx="13">
                  <c:v>85.92</c:v>
                </c:pt>
                <c:pt idx="14">
                  <c:v>78.759999999999991</c:v>
                </c:pt>
                <c:pt idx="15">
                  <c:v>71.599999999999994</c:v>
                </c:pt>
                <c:pt idx="16">
                  <c:v>64.44</c:v>
                </c:pt>
                <c:pt idx="17">
                  <c:v>57.28</c:v>
                </c:pt>
                <c:pt idx="18">
                  <c:v>50.120000000000005</c:v>
                </c:pt>
                <c:pt idx="19">
                  <c:v>42.960000000000008</c:v>
                </c:pt>
                <c:pt idx="20">
                  <c:v>35.800000000000011</c:v>
                </c:pt>
                <c:pt idx="21">
                  <c:v>28.639999999999986</c:v>
                </c:pt>
                <c:pt idx="22">
                  <c:v>21.47999999999999</c:v>
                </c:pt>
                <c:pt idx="23">
                  <c:v>14.319999999999993</c:v>
                </c:pt>
                <c:pt idx="24">
                  <c:v>7.1599999999999966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162.60000000000002</c:v>
                </c:pt>
                <c:pt idx="1">
                  <c:v>159.9</c:v>
                </c:pt>
                <c:pt idx="2">
                  <c:v>157.20000000000002</c:v>
                </c:pt>
                <c:pt idx="3">
                  <c:v>154.5</c:v>
                </c:pt>
                <c:pt idx="4">
                  <c:v>151.80000000000001</c:v>
                </c:pt>
                <c:pt idx="5">
                  <c:v>149.10000000000002</c:v>
                </c:pt>
                <c:pt idx="6">
                  <c:v>146.4</c:v>
                </c:pt>
                <c:pt idx="7">
                  <c:v>143.70000000000002</c:v>
                </c:pt>
                <c:pt idx="8">
                  <c:v>141</c:v>
                </c:pt>
                <c:pt idx="9">
                  <c:v>138.30000000000001</c:v>
                </c:pt>
                <c:pt idx="10">
                  <c:v>135.60000000000002</c:v>
                </c:pt>
                <c:pt idx="11">
                  <c:v>132.9</c:v>
                </c:pt>
                <c:pt idx="12">
                  <c:v>130.20000000000002</c:v>
                </c:pt>
                <c:pt idx="13">
                  <c:v>127.50000000000001</c:v>
                </c:pt>
                <c:pt idx="14">
                  <c:v>124.80000000000001</c:v>
                </c:pt>
                <c:pt idx="15">
                  <c:v>122.10000000000002</c:v>
                </c:pt>
                <c:pt idx="16">
                  <c:v>119.4</c:v>
                </c:pt>
                <c:pt idx="17">
                  <c:v>116.70000000000002</c:v>
                </c:pt>
                <c:pt idx="18">
                  <c:v>114.00000000000001</c:v>
                </c:pt>
                <c:pt idx="19">
                  <c:v>111.30000000000001</c:v>
                </c:pt>
                <c:pt idx="20">
                  <c:v>108.60000000000002</c:v>
                </c:pt>
                <c:pt idx="21">
                  <c:v>105.90000000000002</c:v>
                </c:pt>
                <c:pt idx="22">
                  <c:v>103.20000000000002</c:v>
                </c:pt>
                <c:pt idx="23">
                  <c:v>100.50000000000001</c:v>
                </c:pt>
                <c:pt idx="24">
                  <c:v>97.800000000000011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10294109069699621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13334</xdr:colOff>
      <xdr:row>0</xdr:row>
      <xdr:rowOff>15240</xdr:rowOff>
    </xdr:from>
    <xdr:to>
      <xdr:col>41</xdr:col>
      <xdr:colOff>45720</xdr:colOff>
      <xdr:row>8</xdr:row>
      <xdr:rowOff>7620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69" priority="1" stopIfTrue="1">
      <formula>$F4="Planned"</formula>
    </cfRule>
    <cfRule type="expression" dxfId="68" priority="2" stopIfTrue="1">
      <formula>$F4="Ongoing"</formula>
    </cfRule>
  </conditionalFormatting>
  <conditionalFormatting sqref="F4:F10 F16:F30">
    <cfRule type="expression" dxfId="67" priority="3" stopIfTrue="1">
      <formula>$F4="Planned"</formula>
    </cfRule>
    <cfRule type="expression" dxfId="66" priority="4" stopIfTrue="1">
      <formula>$F4="Ongoing"</formula>
    </cfRule>
    <cfRule type="cellIs" dxfId="65" priority="5" stopIfTrue="1" operator="equal">
      <formula>"Unplanned"</formula>
    </cfRule>
  </conditionalFormatting>
  <conditionalFormatting sqref="E4 G16:H30 A16:E30">
    <cfRule type="expression" dxfId="64" priority="6" stopIfTrue="1">
      <formula>OR($F4="Planned",$F4="Unplanned")</formula>
    </cfRule>
    <cfRule type="expression" dxfId="6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62" priority="1" stopIfTrue="1">
      <formula>$C4="Done"</formula>
    </cfRule>
    <cfRule type="expression" dxfId="61" priority="2" stopIfTrue="1">
      <formula>$C4="Ongoing"</formula>
    </cfRule>
    <cfRule type="expression" dxfId="60" priority="3" stopIfTrue="1">
      <formula>$C4="Removed"</formula>
    </cfRule>
  </conditionalFormatting>
  <conditionalFormatting sqref="G53">
    <cfRule type="expression" dxfId="59" priority="4" stopIfTrue="1">
      <formula>#REF!="Done"</formula>
    </cfRule>
    <cfRule type="expression" dxfId="58" priority="5" stopIfTrue="1">
      <formula>#REF!="Ongoing"</formula>
    </cfRule>
    <cfRule type="expression" dxfId="57" priority="6" stopIfTrue="1">
      <formula>#REF!="Removed"</formula>
    </cfRule>
  </conditionalFormatting>
  <conditionalFormatting sqref="G42:G43">
    <cfRule type="expression" dxfId="56" priority="7" stopIfTrue="1">
      <formula>#REF!="Done"</formula>
    </cfRule>
    <cfRule type="expression" dxfId="55" priority="8" stopIfTrue="1">
      <formula>#REF!="Ongoing"</formula>
    </cfRule>
    <cfRule type="expression" dxfId="54" priority="9" stopIfTrue="1">
      <formula>#REF!="Removed"</formula>
    </cfRule>
  </conditionalFormatting>
  <conditionalFormatting sqref="G22">
    <cfRule type="expression" dxfId="53" priority="10" stopIfTrue="1">
      <formula>#REF!="Done"</formula>
    </cfRule>
    <cfRule type="expression" dxfId="52" priority="11" stopIfTrue="1">
      <formula>#REF!="Ongoing"</formula>
    </cfRule>
    <cfRule type="expression" dxfId="51" priority="12" stopIfTrue="1">
      <formula>#REF!="Removed"</formula>
    </cfRule>
  </conditionalFormatting>
  <conditionalFormatting sqref="A41">
    <cfRule type="expression" dxfId="50" priority="32" stopIfTrue="1">
      <formula>#REF!="Done"</formula>
    </cfRule>
    <cfRule type="expression" dxfId="49" priority="33" stopIfTrue="1">
      <formula>#REF!="Ongoing"</formula>
    </cfRule>
    <cfRule type="expression" dxfId="4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103" t="s">
        <v>27</v>
      </c>
      <c r="F4" s="103"/>
      <c r="G4" s="103"/>
      <c r="H4" s="103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104" t="s">
        <v>38</v>
      </c>
      <c r="C6" s="105"/>
      <c r="D6" s="111"/>
      <c r="E6" s="106"/>
      <c r="F6" s="107"/>
      <c r="G6" s="107"/>
      <c r="H6" s="67"/>
      <c r="I6" s="68"/>
      <c r="J6" s="68"/>
      <c r="K6" s="68"/>
    </row>
    <row r="7" spans="1:11" ht="15" customHeight="1" x14ac:dyDescent="0.3">
      <c r="B7" s="104"/>
      <c r="C7" s="105"/>
      <c r="D7" s="112"/>
      <c r="E7" s="106"/>
      <c r="F7" s="107"/>
      <c r="G7" s="107"/>
      <c r="H7" s="67"/>
      <c r="I7" s="68"/>
      <c r="J7" s="68"/>
      <c r="K7" s="68"/>
    </row>
    <row r="8" spans="1:11" ht="15" customHeight="1" x14ac:dyDescent="0.3">
      <c r="B8" s="104"/>
      <c r="C8" s="105"/>
      <c r="D8" s="112"/>
      <c r="E8" s="106"/>
      <c r="F8" s="107"/>
      <c r="G8" s="107"/>
      <c r="H8" s="67"/>
      <c r="I8" s="68"/>
      <c r="J8" s="68"/>
      <c r="K8" s="68"/>
    </row>
    <row r="9" spans="1:11" ht="15" customHeight="1" x14ac:dyDescent="0.3">
      <c r="B9" s="104"/>
      <c r="C9" s="105"/>
      <c r="D9" s="112"/>
      <c r="E9" s="106"/>
      <c r="F9" s="107"/>
      <c r="G9" s="107"/>
      <c r="H9" s="67"/>
      <c r="I9" s="68"/>
      <c r="J9" s="68"/>
      <c r="K9" s="68"/>
    </row>
    <row r="10" spans="1:11" ht="15.75" customHeight="1" x14ac:dyDescent="0.3">
      <c r="B10" s="104"/>
      <c r="C10" s="105"/>
      <c r="D10" s="113"/>
      <c r="E10" s="106"/>
      <c r="F10" s="107"/>
      <c r="G10" s="107"/>
      <c r="H10" s="67"/>
      <c r="I10" s="68"/>
      <c r="J10" s="68"/>
      <c r="K10" s="68"/>
    </row>
    <row r="11" spans="1:11" ht="30" customHeight="1" x14ac:dyDescent="0.3">
      <c r="B11" s="104" t="s">
        <v>39</v>
      </c>
      <c r="C11" s="105"/>
      <c r="D11" s="111"/>
      <c r="E11" s="106"/>
      <c r="F11" s="107"/>
      <c r="G11" s="107"/>
      <c r="H11" s="67"/>
      <c r="I11" s="68"/>
      <c r="J11" s="68"/>
      <c r="K11" s="68"/>
    </row>
    <row r="12" spans="1:11" ht="30" customHeight="1" x14ac:dyDescent="0.3">
      <c r="B12" s="104"/>
      <c r="C12" s="105"/>
      <c r="D12" s="112"/>
      <c r="E12" s="106"/>
      <c r="F12" s="107"/>
      <c r="G12" s="107"/>
      <c r="H12" s="67"/>
      <c r="I12" s="68"/>
      <c r="J12" s="68"/>
      <c r="K12" s="68"/>
    </row>
    <row r="13" spans="1:11" ht="30" customHeight="1" x14ac:dyDescent="0.3">
      <c r="B13" s="104"/>
      <c r="C13" s="105"/>
      <c r="D13" s="112"/>
      <c r="E13" s="106"/>
      <c r="F13" s="107"/>
      <c r="G13" s="107"/>
      <c r="H13" s="67"/>
      <c r="I13" s="68"/>
      <c r="J13" s="68"/>
      <c r="K13" s="68"/>
    </row>
    <row r="14" spans="1:11" ht="15" customHeight="1" x14ac:dyDescent="0.3">
      <c r="B14" s="104"/>
      <c r="C14" s="105"/>
      <c r="D14" s="113"/>
      <c r="E14" s="106"/>
      <c r="F14" s="107"/>
      <c r="G14" s="107"/>
      <c r="H14" s="67"/>
      <c r="I14" s="68"/>
      <c r="J14" s="68"/>
    </row>
    <row r="15" spans="1:11" ht="15" customHeight="1" x14ac:dyDescent="0.3">
      <c r="B15" s="104" t="s">
        <v>40</v>
      </c>
      <c r="C15" s="105"/>
      <c r="D15" s="111"/>
      <c r="E15" s="106"/>
      <c r="F15" s="107"/>
      <c r="G15" s="107"/>
      <c r="H15" s="67"/>
      <c r="I15" s="68"/>
      <c r="J15" s="68"/>
      <c r="K15" s="68"/>
    </row>
    <row r="16" spans="1:11" ht="15" customHeight="1" x14ac:dyDescent="0.3">
      <c r="A16" s="69"/>
      <c r="B16" s="104"/>
      <c r="C16" s="105"/>
      <c r="D16" s="112"/>
      <c r="E16" s="106"/>
      <c r="F16" s="107"/>
      <c r="G16" s="107"/>
      <c r="H16" s="67"/>
      <c r="I16" s="68"/>
      <c r="J16" s="68"/>
      <c r="K16" s="68"/>
    </row>
    <row r="17" spans="1:11" ht="15" customHeight="1" x14ac:dyDescent="0.3">
      <c r="A17" s="69"/>
      <c r="B17" s="104"/>
      <c r="C17" s="105"/>
      <c r="D17" s="112"/>
      <c r="E17" s="106"/>
      <c r="F17" s="107"/>
      <c r="G17" s="107"/>
      <c r="H17" s="67"/>
      <c r="I17" s="68"/>
      <c r="J17" s="68"/>
      <c r="K17" s="68"/>
    </row>
    <row r="18" spans="1:11" ht="15" customHeight="1" x14ac:dyDescent="0.3">
      <c r="A18" s="69"/>
      <c r="B18" s="104"/>
      <c r="C18" s="105"/>
      <c r="D18" s="113"/>
      <c r="E18" s="106"/>
      <c r="F18" s="107"/>
      <c r="G18" s="107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06"/>
      <c r="F19" s="108"/>
      <c r="G19" s="109"/>
      <c r="H19" s="109"/>
      <c r="I19" s="109"/>
      <c r="J19" s="109"/>
      <c r="K19" s="110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104" t="s">
        <v>41</v>
      </c>
      <c r="C21" s="105"/>
      <c r="D21" s="111"/>
      <c r="E21" s="117"/>
      <c r="F21" s="107"/>
      <c r="G21" s="107"/>
      <c r="H21" s="67"/>
      <c r="I21" s="68"/>
      <c r="J21" s="68"/>
      <c r="K21" s="68"/>
    </row>
    <row r="22" spans="1:11" ht="31.2" customHeight="1" x14ac:dyDescent="0.3">
      <c r="B22" s="104"/>
      <c r="C22" s="105"/>
      <c r="D22" s="112"/>
      <c r="E22" s="117"/>
      <c r="F22" s="107"/>
      <c r="G22" s="107"/>
      <c r="H22" s="67"/>
      <c r="I22" s="68"/>
      <c r="J22" s="68"/>
      <c r="K22" s="68"/>
    </row>
    <row r="23" spans="1:11" ht="31.2" customHeight="1" x14ac:dyDescent="0.3">
      <c r="B23" s="104"/>
      <c r="C23" s="105"/>
      <c r="D23" s="112"/>
      <c r="E23" s="117"/>
      <c r="F23" s="107"/>
      <c r="G23" s="107"/>
      <c r="H23" s="67"/>
      <c r="I23" s="68"/>
      <c r="J23" s="68"/>
      <c r="K23" s="68"/>
    </row>
    <row r="24" spans="1:11" ht="15" customHeight="1" x14ac:dyDescent="0.3">
      <c r="B24" s="104"/>
      <c r="C24" s="105"/>
      <c r="D24" s="113"/>
      <c r="E24" s="117"/>
      <c r="F24" s="107"/>
      <c r="G24" s="107"/>
      <c r="H24" s="67"/>
      <c r="I24" s="68"/>
      <c r="J24" s="68"/>
      <c r="K24" s="68"/>
    </row>
    <row r="25" spans="1:11" ht="30" customHeight="1" x14ac:dyDescent="0.3">
      <c r="B25" s="104" t="s">
        <v>42</v>
      </c>
      <c r="C25" s="105"/>
      <c r="D25" s="111"/>
      <c r="E25" s="117"/>
      <c r="F25" s="107"/>
      <c r="G25" s="107"/>
      <c r="H25" s="67"/>
      <c r="I25" s="68"/>
      <c r="J25" s="68"/>
      <c r="K25" s="68"/>
    </row>
    <row r="26" spans="1:11" ht="45" customHeight="1" x14ac:dyDescent="0.3">
      <c r="A26" s="69"/>
      <c r="B26" s="104"/>
      <c r="C26" s="105"/>
      <c r="D26" s="112"/>
      <c r="E26" s="117"/>
      <c r="F26" s="107"/>
      <c r="G26" s="107"/>
      <c r="H26" s="67"/>
      <c r="I26" s="68"/>
      <c r="J26" s="68"/>
      <c r="K26" s="68"/>
    </row>
    <row r="27" spans="1:11" ht="31.2" customHeight="1" x14ac:dyDescent="0.3">
      <c r="A27" s="69"/>
      <c r="B27" s="104"/>
      <c r="C27" s="105"/>
      <c r="D27" s="112"/>
      <c r="E27" s="117"/>
      <c r="F27" s="107"/>
      <c r="G27" s="107"/>
      <c r="H27" s="67"/>
      <c r="I27" s="68"/>
      <c r="J27" s="68"/>
      <c r="K27" s="68"/>
    </row>
    <row r="28" spans="1:11" ht="15" customHeight="1" x14ac:dyDescent="0.3">
      <c r="A28" s="69"/>
      <c r="B28" s="104"/>
      <c r="C28" s="105"/>
      <c r="D28" s="113"/>
      <c r="E28" s="117"/>
      <c r="F28" s="107"/>
      <c r="G28" s="107"/>
      <c r="H28" s="67"/>
      <c r="I28" s="68"/>
      <c r="J28" s="68"/>
      <c r="K28" s="68"/>
    </row>
    <row r="29" spans="1:11" ht="16.5" customHeight="1" x14ac:dyDescent="0.3">
      <c r="A29" s="69"/>
      <c r="B29" s="118" t="s">
        <v>43</v>
      </c>
      <c r="C29" s="119"/>
      <c r="D29" s="114"/>
      <c r="E29" s="117"/>
      <c r="F29" s="107"/>
      <c r="G29" s="107"/>
      <c r="H29" s="67"/>
      <c r="I29" s="68"/>
      <c r="J29" s="68"/>
      <c r="K29" s="68"/>
    </row>
    <row r="30" spans="1:11" ht="15" customHeight="1" x14ac:dyDescent="0.3">
      <c r="A30" s="69"/>
      <c r="B30" s="118"/>
      <c r="C30" s="119"/>
      <c r="D30" s="115"/>
      <c r="E30" s="117"/>
      <c r="F30" s="107"/>
      <c r="G30" s="107"/>
      <c r="H30" s="67"/>
      <c r="I30" s="68"/>
      <c r="J30" s="68"/>
      <c r="K30" s="68"/>
    </row>
    <row r="31" spans="1:11" ht="15" customHeight="1" x14ac:dyDescent="0.3">
      <c r="A31" s="69"/>
      <c r="B31" s="118"/>
      <c r="C31" s="119"/>
      <c r="D31" s="115"/>
      <c r="E31" s="117"/>
      <c r="F31" s="107"/>
      <c r="G31" s="107"/>
      <c r="H31" s="67"/>
      <c r="I31" s="68"/>
      <c r="J31" s="68"/>
      <c r="K31" s="68"/>
    </row>
    <row r="32" spans="1:11" ht="30.75" customHeight="1" x14ac:dyDescent="0.3">
      <c r="A32" s="69"/>
      <c r="B32" s="118"/>
      <c r="C32" s="119"/>
      <c r="D32" s="116"/>
      <c r="E32" s="117"/>
      <c r="F32" s="107"/>
      <c r="G32" s="107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17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11:D14"/>
    <mergeCell ref="D15:D18"/>
    <mergeCell ref="B25:B28"/>
    <mergeCell ref="C25:C28"/>
    <mergeCell ref="D21:D24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O70"/>
  <sheetViews>
    <sheetView tabSelected="1" zoomScale="70" zoomScaleNormal="70" workbookViewId="0">
      <pane ySplit="14" topLeftCell="A15" activePane="bottomLeft" state="frozen"/>
      <selection pane="bottomLeft" activeCell="AO41" sqref="AO41:AO42"/>
    </sheetView>
  </sheetViews>
  <sheetFormatPr baseColWidth="10" defaultColWidth="8.6640625" defaultRowHeight="13.2" x14ac:dyDescent="0.25"/>
  <cols>
    <col min="1" max="1" width="39.109375" customWidth="1"/>
    <col min="2" max="2" width="8.44140625" style="2" customWidth="1"/>
    <col min="3" max="3" width="1.5546875" customWidth="1"/>
    <col min="4" max="4" width="10.6640625" customWidth="1"/>
    <col min="5" max="5" width="6.44140625" style="2" customWidth="1"/>
    <col min="6" max="30" width="4.44140625" style="2" customWidth="1"/>
  </cols>
  <sheetData>
    <row r="1" spans="1:41" ht="17.399999999999999" x14ac:dyDescent="0.3">
      <c r="A1" s="93">
        <v>2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41" x14ac:dyDescent="0.25">
      <c r="A2" s="60" t="s">
        <v>83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41" x14ac:dyDescent="0.25">
      <c r="A3" s="99" t="s">
        <v>91</v>
      </c>
    </row>
    <row r="4" spans="1:41" x14ac:dyDescent="0.25">
      <c r="A4" t="s">
        <v>81</v>
      </c>
    </row>
    <row r="5" spans="1:41" x14ac:dyDescent="0.25">
      <c r="A5" t="s">
        <v>82</v>
      </c>
    </row>
    <row r="6" spans="1:41" x14ac:dyDescent="0.25">
      <c r="A6" t="s">
        <v>92</v>
      </c>
    </row>
    <row r="9" spans="1:41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41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179</v>
      </c>
      <c r="F10" s="17">
        <f ca="1">IF(AND(SUM(OFFSET(F14,1,0,TaskRows,1))=0),0,SUM(OFFSET(F14,1,0,TaskRows,1)))</f>
        <v>175</v>
      </c>
      <c r="G10" s="17">
        <f t="shared" ref="G10:AD10" ca="1" si="0">IF(AND(SUM(OFFSET(G14,1,0,TaskRows,1))=0),"",SUM(OFFSET(G14,1,0,TaskRows,1)))</f>
        <v>175</v>
      </c>
      <c r="H10" s="17">
        <f t="shared" ca="1" si="0"/>
        <v>171</v>
      </c>
      <c r="I10" s="17">
        <f t="shared" ca="1" si="0"/>
        <v>169</v>
      </c>
      <c r="J10" s="17">
        <f t="shared" ca="1" si="0"/>
        <v>154</v>
      </c>
      <c r="K10" s="17">
        <f t="shared" ca="1" si="0"/>
        <v>148</v>
      </c>
      <c r="L10" s="17">
        <f t="shared" ca="1" si="0"/>
        <v>137</v>
      </c>
      <c r="M10" s="17">
        <f t="shared" ca="1" si="0"/>
        <v>134</v>
      </c>
      <c r="N10" s="17">
        <f t="shared" ca="1" si="0"/>
        <v>135</v>
      </c>
      <c r="O10" s="17">
        <f t="shared" ca="1" si="0"/>
        <v>132</v>
      </c>
      <c r="P10" s="17">
        <f t="shared" ca="1" si="0"/>
        <v>130</v>
      </c>
      <c r="Q10" s="17">
        <f t="shared" ca="1" si="0"/>
        <v>130</v>
      </c>
      <c r="R10" s="17">
        <f t="shared" ca="1" si="0"/>
        <v>129</v>
      </c>
      <c r="S10" s="17">
        <f t="shared" ca="1" si="0"/>
        <v>129</v>
      </c>
      <c r="T10" s="17">
        <f t="shared" ca="1" si="0"/>
        <v>121</v>
      </c>
      <c r="U10" s="17">
        <f t="shared" ca="1" si="0"/>
        <v>117</v>
      </c>
      <c r="V10" s="17">
        <f t="shared" ca="1" si="0"/>
        <v>117</v>
      </c>
      <c r="W10" s="17">
        <f t="shared" ca="1" si="0"/>
        <v>117</v>
      </c>
      <c r="X10" s="17">
        <f t="shared" ca="1" si="0"/>
        <v>116</v>
      </c>
      <c r="Y10" s="17">
        <f t="shared" ca="1" si="0"/>
        <v>113</v>
      </c>
      <c r="Z10" s="17">
        <f t="shared" ca="1" si="0"/>
        <v>107</v>
      </c>
      <c r="AA10" s="17">
        <f t="shared" ca="1" si="0"/>
        <v>107</v>
      </c>
      <c r="AB10" s="17">
        <f t="shared" ca="1" si="0"/>
        <v>104</v>
      </c>
      <c r="AC10" s="17">
        <f t="shared" ca="1" si="0"/>
        <v>102</v>
      </c>
      <c r="AD10" s="17">
        <f t="shared" ca="1" si="0"/>
        <v>96</v>
      </c>
    </row>
    <row r="11" spans="1:41" hidden="1" x14ac:dyDescent="0.25">
      <c r="A11" t="s">
        <v>50</v>
      </c>
      <c r="B11" s="2">
        <f>IF(COUNTA(A15:A248)=0,1,COUNTA(A15:A248))</f>
        <v>19</v>
      </c>
      <c r="C11" t="s">
        <v>51</v>
      </c>
      <c r="D11" s="2">
        <f ca="1">IF(COUNTIF(F10:AD10,"&gt;0")=0,1,COUNTIF(F10:AD10,"&gt;0"))</f>
        <v>25</v>
      </c>
      <c r="F11" s="2">
        <f ca="1">IF(F14="","",$E10-$E10/($B9-1)*(F14-1))</f>
        <v>179</v>
      </c>
      <c r="G11" s="2">
        <f t="shared" ref="G11:AD11" ca="1" si="1">IF(G14="","",TotalEffort-TotalEffort/(ImplementationDays)*(G14-1))</f>
        <v>171.84</v>
      </c>
      <c r="H11" s="2">
        <f t="shared" ca="1" si="1"/>
        <v>164.68</v>
      </c>
      <c r="I11" s="2">
        <f t="shared" ca="1" si="1"/>
        <v>157.52000000000001</v>
      </c>
      <c r="J11" s="2">
        <f t="shared" ca="1" si="1"/>
        <v>150.36000000000001</v>
      </c>
      <c r="K11" s="2">
        <f t="shared" ca="1" si="1"/>
        <v>143.19999999999999</v>
      </c>
      <c r="L11" s="2">
        <f t="shared" ca="1" si="1"/>
        <v>136.04</v>
      </c>
      <c r="M11" s="2">
        <f t="shared" ca="1" si="1"/>
        <v>128.88</v>
      </c>
      <c r="N11" s="2">
        <f t="shared" ca="1" si="1"/>
        <v>121.72</v>
      </c>
      <c r="O11" s="2">
        <f t="shared" ca="1" si="1"/>
        <v>114.56</v>
      </c>
      <c r="P11" s="2">
        <f t="shared" ca="1" si="1"/>
        <v>107.4</v>
      </c>
      <c r="Q11" s="2">
        <f t="shared" ca="1" si="1"/>
        <v>100.24</v>
      </c>
      <c r="R11" s="2">
        <f t="shared" ca="1" si="1"/>
        <v>93.08</v>
      </c>
      <c r="S11" s="2">
        <f t="shared" ca="1" si="1"/>
        <v>85.92</v>
      </c>
      <c r="T11" s="2">
        <f t="shared" ca="1" si="1"/>
        <v>78.759999999999991</v>
      </c>
      <c r="U11" s="2">
        <f t="shared" ca="1" si="1"/>
        <v>71.599999999999994</v>
      </c>
      <c r="V11" s="2">
        <f t="shared" ca="1" si="1"/>
        <v>64.44</v>
      </c>
      <c r="W11" s="2">
        <f t="shared" ca="1" si="1"/>
        <v>57.28</v>
      </c>
      <c r="X11" s="2">
        <f t="shared" ca="1" si="1"/>
        <v>50.120000000000005</v>
      </c>
      <c r="Y11" s="2">
        <f t="shared" ca="1" si="1"/>
        <v>42.960000000000008</v>
      </c>
      <c r="Z11" s="2">
        <f t="shared" ca="1" si="1"/>
        <v>35.800000000000011</v>
      </c>
      <c r="AA11" s="2">
        <f t="shared" ca="1" si="1"/>
        <v>28.639999999999986</v>
      </c>
      <c r="AB11" s="2">
        <f t="shared" ca="1" si="1"/>
        <v>21.47999999999999</v>
      </c>
      <c r="AC11" s="2">
        <f t="shared" ca="1" si="1"/>
        <v>14.319999999999993</v>
      </c>
      <c r="AD11" s="2">
        <f t="shared" ca="1" si="1"/>
        <v>7.1599999999999966</v>
      </c>
    </row>
    <row r="12" spans="1:41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162.60000000000002</v>
      </c>
      <c r="G12" s="2">
        <f t="shared" ca="1" si="2"/>
        <v>159.9</v>
      </c>
      <c r="H12" s="2">
        <f t="shared" ca="1" si="2"/>
        <v>157.20000000000002</v>
      </c>
      <c r="I12" s="2">
        <f t="shared" ca="1" si="2"/>
        <v>154.5</v>
      </c>
      <c r="J12" s="2">
        <f t="shared" ca="1" si="2"/>
        <v>151.80000000000001</v>
      </c>
      <c r="K12" s="2">
        <f t="shared" ca="1" si="2"/>
        <v>149.10000000000002</v>
      </c>
      <c r="L12" s="2">
        <f t="shared" ca="1" si="2"/>
        <v>146.4</v>
      </c>
      <c r="M12" s="2">
        <f t="shared" ca="1" si="2"/>
        <v>143.70000000000002</v>
      </c>
      <c r="N12" s="2">
        <f t="shared" ca="1" si="2"/>
        <v>141</v>
      </c>
      <c r="O12" s="2">
        <f t="shared" ca="1" si="2"/>
        <v>138.30000000000001</v>
      </c>
      <c r="P12" s="2">
        <f t="shared" ca="1" si="2"/>
        <v>135.60000000000002</v>
      </c>
      <c r="Q12" s="2">
        <f t="shared" ca="1" si="2"/>
        <v>132.9</v>
      </c>
      <c r="R12" s="2">
        <f t="shared" ca="1" si="2"/>
        <v>130.20000000000002</v>
      </c>
      <c r="S12" s="2">
        <f t="shared" ca="1" si="2"/>
        <v>127.50000000000001</v>
      </c>
      <c r="T12" s="2">
        <f t="shared" ca="1" si="2"/>
        <v>124.80000000000001</v>
      </c>
      <c r="U12" s="2">
        <f t="shared" ca="1" si="2"/>
        <v>122.10000000000002</v>
      </c>
      <c r="V12" s="2">
        <f t="shared" ca="1" si="2"/>
        <v>119.4</v>
      </c>
      <c r="W12" s="2">
        <f t="shared" ca="1" si="2"/>
        <v>116.70000000000002</v>
      </c>
      <c r="X12" s="2">
        <f t="shared" ca="1" si="2"/>
        <v>114.00000000000001</v>
      </c>
      <c r="Y12" s="2">
        <f t="shared" ca="1" si="2"/>
        <v>111.30000000000001</v>
      </c>
      <c r="Z12" s="2">
        <f t="shared" ca="1" si="2"/>
        <v>108.60000000000002</v>
      </c>
      <c r="AA12" s="2">
        <f t="shared" ca="1" si="2"/>
        <v>105.90000000000002</v>
      </c>
      <c r="AB12" s="2">
        <f t="shared" ca="1" si="2"/>
        <v>103.20000000000002</v>
      </c>
      <c r="AC12" s="2">
        <f t="shared" ca="1" si="2"/>
        <v>100.50000000000001</v>
      </c>
      <c r="AD12" s="2">
        <f t="shared" ca="1" si="2"/>
        <v>97.800000000000011</v>
      </c>
    </row>
    <row r="13" spans="1:41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41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  <c r="AE14" s="19">
        <v>26</v>
      </c>
      <c r="AF14" s="19">
        <v>27</v>
      </c>
      <c r="AG14" s="19">
        <v>28</v>
      </c>
      <c r="AH14" s="19">
        <v>29</v>
      </c>
      <c r="AI14" s="19">
        <v>30</v>
      </c>
      <c r="AJ14" s="19">
        <v>31</v>
      </c>
      <c r="AK14" s="19">
        <v>32</v>
      </c>
      <c r="AL14" s="19">
        <v>33</v>
      </c>
      <c r="AM14" s="19">
        <v>34</v>
      </c>
      <c r="AN14" s="19">
        <v>35</v>
      </c>
      <c r="AO14" s="19">
        <v>36</v>
      </c>
    </row>
    <row r="15" spans="1:41" ht="14.4" x14ac:dyDescent="0.3">
      <c r="A15" s="102" t="s">
        <v>97</v>
      </c>
      <c r="B15" s="35"/>
      <c r="C15" s="60" t="s">
        <v>100</v>
      </c>
      <c r="D15" s="98" t="s">
        <v>62</v>
      </c>
      <c r="E15" s="97">
        <v>5</v>
      </c>
      <c r="F15" s="97">
        <v>5</v>
      </c>
      <c r="G15" s="97">
        <v>5</v>
      </c>
      <c r="H15" s="97">
        <v>5</v>
      </c>
      <c r="I15" s="97">
        <v>5</v>
      </c>
      <c r="J15" s="97">
        <v>2</v>
      </c>
      <c r="K15" s="97">
        <v>2</v>
      </c>
      <c r="L15" s="97">
        <v>0</v>
      </c>
      <c r="M15" s="100">
        <v>0</v>
      </c>
      <c r="N15" s="100">
        <v>0</v>
      </c>
      <c r="O15" s="100">
        <v>0</v>
      </c>
      <c r="P15" s="100">
        <v>0</v>
      </c>
      <c r="Q15" s="97">
        <v>0</v>
      </c>
      <c r="R15" s="97">
        <v>0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  <c r="AC15" s="97">
        <v>0</v>
      </c>
      <c r="AD15" s="97">
        <v>0</v>
      </c>
      <c r="AE15" s="97">
        <v>0</v>
      </c>
      <c r="AF15" s="97">
        <v>0</v>
      </c>
      <c r="AG15" s="97">
        <v>0</v>
      </c>
      <c r="AH15" s="97">
        <v>0</v>
      </c>
      <c r="AI15" s="97">
        <v>0</v>
      </c>
      <c r="AJ15" s="97">
        <v>0</v>
      </c>
      <c r="AK15" s="97">
        <v>0</v>
      </c>
      <c r="AL15" s="97">
        <v>0</v>
      </c>
      <c r="AM15" s="97">
        <v>0</v>
      </c>
      <c r="AN15" s="97">
        <v>0</v>
      </c>
      <c r="AO15" s="97">
        <v>0</v>
      </c>
    </row>
    <row r="16" spans="1:41" ht="14.4" x14ac:dyDescent="0.3">
      <c r="A16" s="102" t="s">
        <v>98</v>
      </c>
      <c r="B16" s="35"/>
      <c r="C16" s="60" t="s">
        <v>100</v>
      </c>
      <c r="D16" s="98" t="s">
        <v>62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2</v>
      </c>
      <c r="K16" s="97">
        <v>2</v>
      </c>
      <c r="L16" s="97">
        <v>0</v>
      </c>
      <c r="M16" s="100">
        <v>0</v>
      </c>
      <c r="N16" s="100">
        <v>0</v>
      </c>
      <c r="O16" s="100">
        <v>0</v>
      </c>
      <c r="P16" s="100">
        <v>0</v>
      </c>
      <c r="Q16" s="97">
        <v>0</v>
      </c>
      <c r="R16" s="97">
        <v>0</v>
      </c>
      <c r="S16" s="97">
        <v>0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  <c r="AC16" s="97">
        <v>0</v>
      </c>
      <c r="AD16" s="97">
        <v>0</v>
      </c>
      <c r="AE16" s="97">
        <v>0</v>
      </c>
      <c r="AF16" s="97">
        <v>0</v>
      </c>
      <c r="AG16" s="97">
        <v>0</v>
      </c>
      <c r="AH16" s="97">
        <v>0</v>
      </c>
      <c r="AI16" s="97">
        <v>0</v>
      </c>
      <c r="AJ16" s="97">
        <v>0</v>
      </c>
      <c r="AK16" s="97">
        <v>0</v>
      </c>
      <c r="AL16" s="97">
        <v>0</v>
      </c>
      <c r="AM16" s="97">
        <v>0</v>
      </c>
      <c r="AN16" s="97">
        <v>0</v>
      </c>
      <c r="AO16" s="97">
        <v>0</v>
      </c>
    </row>
    <row r="17" spans="1:41" ht="14.4" x14ac:dyDescent="0.3">
      <c r="A17" s="98" t="s">
        <v>88</v>
      </c>
      <c r="B17" s="35"/>
      <c r="C17" s="60" t="s">
        <v>100</v>
      </c>
      <c r="D17" s="98" t="s">
        <v>62</v>
      </c>
      <c r="E17" s="97">
        <v>3</v>
      </c>
      <c r="F17" s="97">
        <v>3</v>
      </c>
      <c r="G17" s="97">
        <v>3</v>
      </c>
      <c r="H17" s="97">
        <v>3</v>
      </c>
      <c r="I17" s="97">
        <v>3</v>
      </c>
      <c r="J17" s="97">
        <v>1</v>
      </c>
      <c r="K17" s="97">
        <v>1</v>
      </c>
      <c r="L17" s="97">
        <v>1</v>
      </c>
      <c r="M17" s="100">
        <v>1</v>
      </c>
      <c r="N17" s="100">
        <v>1</v>
      </c>
      <c r="O17" s="100">
        <v>1</v>
      </c>
      <c r="P17" s="100">
        <v>1</v>
      </c>
      <c r="Q17" s="97">
        <v>1</v>
      </c>
      <c r="R17" s="97">
        <v>1</v>
      </c>
      <c r="S17" s="97">
        <v>1</v>
      </c>
      <c r="T17" s="97">
        <v>1</v>
      </c>
      <c r="U17" s="97">
        <v>1</v>
      </c>
      <c r="V17" s="97">
        <v>1</v>
      </c>
      <c r="W17" s="97">
        <v>1</v>
      </c>
      <c r="X17" s="97">
        <v>1</v>
      </c>
      <c r="Y17" s="97">
        <v>1</v>
      </c>
      <c r="Z17" s="97">
        <v>1</v>
      </c>
      <c r="AA17" s="97">
        <v>1</v>
      </c>
      <c r="AB17" s="97">
        <v>1</v>
      </c>
      <c r="AC17" s="97">
        <v>1</v>
      </c>
      <c r="AD17" s="97">
        <v>1</v>
      </c>
      <c r="AE17" s="97">
        <v>1</v>
      </c>
      <c r="AF17" s="97">
        <v>1</v>
      </c>
      <c r="AG17" s="97">
        <v>1</v>
      </c>
      <c r="AH17" s="97">
        <v>1</v>
      </c>
      <c r="AI17" s="97">
        <v>1</v>
      </c>
      <c r="AJ17" s="97">
        <v>1</v>
      </c>
      <c r="AK17" s="97">
        <v>1</v>
      </c>
      <c r="AL17" s="97">
        <v>1</v>
      </c>
      <c r="AM17" s="97">
        <v>1</v>
      </c>
      <c r="AN17" s="97">
        <v>1</v>
      </c>
      <c r="AO17" s="97">
        <v>1</v>
      </c>
    </row>
    <row r="18" spans="1:41" ht="14.4" x14ac:dyDescent="0.3">
      <c r="A18" s="98" t="s">
        <v>89</v>
      </c>
      <c r="B18" s="35"/>
      <c r="C18" s="60" t="s">
        <v>61</v>
      </c>
      <c r="D18" s="98" t="s">
        <v>62</v>
      </c>
      <c r="E18" s="97">
        <v>16</v>
      </c>
      <c r="F18" s="97">
        <v>16</v>
      </c>
      <c r="G18" s="97">
        <v>16</v>
      </c>
      <c r="H18" s="97">
        <v>16</v>
      </c>
      <c r="I18" s="97">
        <v>16</v>
      </c>
      <c r="J18" s="97">
        <v>13</v>
      </c>
      <c r="K18" s="97">
        <v>10</v>
      </c>
      <c r="L18" s="97">
        <v>8</v>
      </c>
      <c r="M18" s="97">
        <v>6</v>
      </c>
      <c r="N18" s="97">
        <v>7</v>
      </c>
      <c r="O18" s="97">
        <v>4</v>
      </c>
      <c r="P18" s="97">
        <v>4</v>
      </c>
      <c r="Q18" s="97">
        <v>4</v>
      </c>
      <c r="R18" s="97">
        <v>4</v>
      </c>
      <c r="S18" s="97">
        <v>4</v>
      </c>
      <c r="T18" s="97">
        <v>2</v>
      </c>
      <c r="U18" s="97">
        <v>2</v>
      </c>
      <c r="V18" s="97">
        <v>2</v>
      </c>
      <c r="W18" s="97">
        <v>2</v>
      </c>
      <c r="X18" s="97">
        <v>2</v>
      </c>
      <c r="Y18" s="97">
        <v>1</v>
      </c>
      <c r="Z18" s="97">
        <v>1</v>
      </c>
      <c r="AA18" s="97">
        <v>1</v>
      </c>
      <c r="AB18" s="97">
        <v>1</v>
      </c>
      <c r="AC18" s="97">
        <v>1</v>
      </c>
      <c r="AD18" s="97">
        <v>1</v>
      </c>
      <c r="AE18" s="97">
        <v>1</v>
      </c>
      <c r="AF18" s="97">
        <v>1</v>
      </c>
      <c r="AG18" s="97">
        <v>1</v>
      </c>
      <c r="AH18" s="97">
        <v>1</v>
      </c>
      <c r="AI18" s="97">
        <v>1</v>
      </c>
      <c r="AJ18" s="97">
        <v>1</v>
      </c>
      <c r="AK18" s="97">
        <v>1</v>
      </c>
      <c r="AL18" s="97">
        <v>1</v>
      </c>
      <c r="AM18" s="97">
        <v>1</v>
      </c>
      <c r="AN18" s="97">
        <v>1</v>
      </c>
      <c r="AO18" s="97">
        <v>1</v>
      </c>
    </row>
    <row r="19" spans="1:41" ht="14.4" x14ac:dyDescent="0.3">
      <c r="A19" s="98" t="s">
        <v>90</v>
      </c>
      <c r="C19" s="60" t="s">
        <v>61</v>
      </c>
      <c r="D19" s="60" t="s">
        <v>62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5</v>
      </c>
      <c r="K19" s="97">
        <v>3</v>
      </c>
      <c r="L19" s="97">
        <v>2</v>
      </c>
      <c r="M19" s="100">
        <v>2</v>
      </c>
      <c r="N19" s="100">
        <v>2</v>
      </c>
      <c r="O19" s="100">
        <v>1</v>
      </c>
      <c r="P19" s="100">
        <v>1</v>
      </c>
      <c r="Q19" s="97">
        <v>1</v>
      </c>
      <c r="R19" s="97">
        <v>1</v>
      </c>
      <c r="S19" s="97">
        <v>1</v>
      </c>
      <c r="T19" s="97">
        <v>1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  <c r="AC19" s="97">
        <v>0</v>
      </c>
      <c r="AD19" s="97">
        <v>0</v>
      </c>
      <c r="AE19" s="97">
        <v>0</v>
      </c>
      <c r="AF19" s="97">
        <v>0</v>
      </c>
      <c r="AG19" s="97">
        <v>0</v>
      </c>
      <c r="AH19" s="97">
        <v>0</v>
      </c>
      <c r="AI19" s="97">
        <v>0</v>
      </c>
      <c r="AJ19" s="97">
        <v>0</v>
      </c>
      <c r="AK19" s="97">
        <v>0</v>
      </c>
      <c r="AL19" s="97">
        <v>0</v>
      </c>
      <c r="AM19" s="97">
        <v>0</v>
      </c>
      <c r="AN19" s="97">
        <v>0</v>
      </c>
      <c r="AO19" s="97">
        <v>0</v>
      </c>
    </row>
    <row r="20" spans="1:41" ht="14.4" x14ac:dyDescent="0.3">
      <c r="A20" s="98" t="s">
        <v>99</v>
      </c>
      <c r="B20" s="35"/>
      <c r="C20" t="s">
        <v>68</v>
      </c>
      <c r="D20" s="98" t="s">
        <v>70</v>
      </c>
      <c r="E20" s="123">
        <v>8</v>
      </c>
      <c r="F20" s="123">
        <v>6</v>
      </c>
      <c r="G20" s="123">
        <v>6</v>
      </c>
      <c r="H20" s="123">
        <v>6</v>
      </c>
      <c r="I20" s="123">
        <v>5</v>
      </c>
      <c r="J20" s="123">
        <v>5</v>
      </c>
      <c r="K20" s="123">
        <v>4</v>
      </c>
      <c r="L20" s="123">
        <v>4</v>
      </c>
      <c r="M20" s="123">
        <v>4</v>
      </c>
      <c r="N20" s="123">
        <v>4</v>
      </c>
      <c r="O20" s="123">
        <v>6</v>
      </c>
      <c r="P20" s="123">
        <v>4</v>
      </c>
      <c r="Q20" s="123">
        <v>3</v>
      </c>
      <c r="R20" s="123">
        <v>3</v>
      </c>
      <c r="S20" s="123">
        <v>3</v>
      </c>
      <c r="T20" s="123">
        <v>3</v>
      </c>
      <c r="U20" s="123">
        <v>2</v>
      </c>
      <c r="V20" s="123">
        <v>2</v>
      </c>
      <c r="W20" s="123">
        <v>2</v>
      </c>
      <c r="X20" s="123">
        <v>2</v>
      </c>
      <c r="Y20" s="123">
        <v>1</v>
      </c>
      <c r="Z20" s="123">
        <v>1</v>
      </c>
      <c r="AA20" s="123">
        <v>1</v>
      </c>
      <c r="AB20" s="123">
        <v>1</v>
      </c>
      <c r="AC20" s="123">
        <v>0</v>
      </c>
      <c r="AD20" s="123">
        <v>0</v>
      </c>
      <c r="AE20" s="123">
        <v>0</v>
      </c>
      <c r="AF20" s="123">
        <v>0</v>
      </c>
      <c r="AG20" s="123">
        <v>0</v>
      </c>
      <c r="AH20" s="123">
        <v>0</v>
      </c>
      <c r="AI20" s="123">
        <v>0</v>
      </c>
      <c r="AJ20" s="123">
        <v>0</v>
      </c>
      <c r="AK20" s="123">
        <v>0</v>
      </c>
      <c r="AL20" s="123">
        <v>0</v>
      </c>
      <c r="AM20" s="123">
        <v>0</v>
      </c>
      <c r="AN20" s="123">
        <v>0</v>
      </c>
      <c r="AO20" s="123">
        <v>0</v>
      </c>
    </row>
    <row r="21" spans="1:41" ht="14.4" x14ac:dyDescent="0.3">
      <c r="A21" s="98" t="s">
        <v>94</v>
      </c>
      <c r="C21" s="60" t="s">
        <v>101</v>
      </c>
      <c r="D21" s="60" t="s">
        <v>62</v>
      </c>
      <c r="E21" s="97">
        <v>5</v>
      </c>
      <c r="F21" s="97">
        <v>5</v>
      </c>
      <c r="G21" s="97">
        <v>5</v>
      </c>
      <c r="H21" s="97">
        <v>5</v>
      </c>
      <c r="I21" s="97">
        <v>5</v>
      </c>
      <c r="J21" s="97">
        <v>5</v>
      </c>
      <c r="K21" s="97">
        <v>5</v>
      </c>
      <c r="L21" s="97">
        <v>5</v>
      </c>
      <c r="M21" s="97">
        <v>5</v>
      </c>
      <c r="N21" s="97">
        <v>5</v>
      </c>
      <c r="O21" s="97">
        <v>5</v>
      </c>
      <c r="P21" s="97">
        <v>5</v>
      </c>
      <c r="Q21" s="97">
        <v>5</v>
      </c>
      <c r="R21" s="97">
        <v>5</v>
      </c>
      <c r="S21" s="97">
        <v>5</v>
      </c>
      <c r="T21" s="97">
        <v>5</v>
      </c>
      <c r="U21" s="97">
        <v>5</v>
      </c>
      <c r="V21" s="97">
        <v>5</v>
      </c>
      <c r="W21" s="97">
        <v>5</v>
      </c>
      <c r="X21" s="97">
        <v>5</v>
      </c>
      <c r="Y21" s="97">
        <v>5</v>
      </c>
      <c r="Z21" s="97">
        <v>4</v>
      </c>
      <c r="AA21" s="97">
        <v>4</v>
      </c>
      <c r="AB21" s="97">
        <v>4</v>
      </c>
      <c r="AC21" s="97">
        <v>4</v>
      </c>
      <c r="AD21" s="97">
        <v>4</v>
      </c>
      <c r="AE21" s="97">
        <v>4</v>
      </c>
      <c r="AF21" s="97">
        <v>3</v>
      </c>
      <c r="AG21" s="97">
        <v>3</v>
      </c>
      <c r="AH21" s="97">
        <v>2</v>
      </c>
      <c r="AI21" s="97">
        <v>1</v>
      </c>
      <c r="AJ21" s="97">
        <v>0</v>
      </c>
      <c r="AK21" s="97">
        <v>0</v>
      </c>
      <c r="AL21" s="97">
        <v>0</v>
      </c>
      <c r="AM21" s="97">
        <v>0</v>
      </c>
      <c r="AN21" s="97">
        <v>0</v>
      </c>
      <c r="AO21" s="97">
        <v>0</v>
      </c>
    </row>
    <row r="22" spans="1:41" ht="14.4" x14ac:dyDescent="0.3">
      <c r="A22" s="98" t="s">
        <v>93</v>
      </c>
      <c r="C22" s="60" t="s">
        <v>66</v>
      </c>
      <c r="D22" s="60" t="s">
        <v>70</v>
      </c>
      <c r="E22" s="97">
        <v>6</v>
      </c>
      <c r="F22" s="97">
        <v>6</v>
      </c>
      <c r="G22" s="97">
        <v>6</v>
      </c>
      <c r="H22" s="97">
        <v>6</v>
      </c>
      <c r="I22" s="97">
        <v>6</v>
      </c>
      <c r="J22" s="97">
        <v>5</v>
      </c>
      <c r="K22" s="97">
        <v>5</v>
      </c>
      <c r="L22" s="97">
        <v>5</v>
      </c>
      <c r="M22" s="97">
        <v>4</v>
      </c>
      <c r="N22" s="97">
        <v>4</v>
      </c>
      <c r="O22" s="97">
        <v>4</v>
      </c>
      <c r="P22" s="97">
        <v>4</v>
      </c>
      <c r="Q22" s="97">
        <v>6</v>
      </c>
      <c r="R22" s="97">
        <v>6</v>
      </c>
      <c r="S22" s="97">
        <v>6</v>
      </c>
      <c r="T22" s="97">
        <v>6</v>
      </c>
      <c r="U22" s="97">
        <v>6</v>
      </c>
      <c r="V22" s="97">
        <v>6</v>
      </c>
      <c r="W22" s="97">
        <v>6</v>
      </c>
      <c r="X22" s="97">
        <v>6</v>
      </c>
      <c r="Y22" s="97">
        <v>6</v>
      </c>
      <c r="Z22" s="97">
        <v>6</v>
      </c>
      <c r="AA22" s="97">
        <v>6</v>
      </c>
      <c r="AB22" s="97">
        <v>5</v>
      </c>
      <c r="AC22" s="97">
        <v>5</v>
      </c>
      <c r="AD22" s="97">
        <v>5</v>
      </c>
      <c r="AE22" s="97">
        <v>5</v>
      </c>
      <c r="AF22" s="97">
        <v>5</v>
      </c>
      <c r="AG22" s="97">
        <v>5</v>
      </c>
      <c r="AH22" s="97">
        <v>5</v>
      </c>
      <c r="AI22" s="97">
        <v>5</v>
      </c>
      <c r="AJ22" s="97">
        <v>5</v>
      </c>
      <c r="AK22" s="97">
        <v>3</v>
      </c>
      <c r="AL22" s="97">
        <v>3</v>
      </c>
      <c r="AM22" s="97">
        <v>3</v>
      </c>
      <c r="AN22" s="97">
        <v>3</v>
      </c>
      <c r="AO22" s="97">
        <v>3</v>
      </c>
    </row>
    <row r="23" spans="1:41" ht="14.4" x14ac:dyDescent="0.3">
      <c r="A23" s="98" t="s">
        <v>95</v>
      </c>
      <c r="C23" s="60" t="s">
        <v>66</v>
      </c>
      <c r="D23" s="60" t="s">
        <v>70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7</v>
      </c>
      <c r="K23" s="97">
        <v>7</v>
      </c>
      <c r="L23" s="97">
        <v>6</v>
      </c>
      <c r="M23" s="97">
        <v>6</v>
      </c>
      <c r="N23" s="97">
        <v>6</v>
      </c>
      <c r="O23" s="97">
        <v>5</v>
      </c>
      <c r="P23" s="97">
        <v>5</v>
      </c>
      <c r="Q23" s="97">
        <v>5</v>
      </c>
      <c r="R23" s="97">
        <v>5</v>
      </c>
      <c r="S23" s="97">
        <v>5</v>
      </c>
      <c r="T23" s="97">
        <v>5</v>
      </c>
      <c r="U23" s="97">
        <v>5</v>
      </c>
      <c r="V23" s="97">
        <v>5</v>
      </c>
      <c r="W23" s="97">
        <v>5</v>
      </c>
      <c r="X23" s="97">
        <v>5</v>
      </c>
      <c r="Y23" s="97">
        <v>7</v>
      </c>
      <c r="Z23" s="97">
        <v>7</v>
      </c>
      <c r="AA23" s="97">
        <v>7</v>
      </c>
      <c r="AB23" s="97">
        <v>5</v>
      </c>
      <c r="AC23" s="97">
        <v>5</v>
      </c>
      <c r="AD23" s="97">
        <v>5</v>
      </c>
      <c r="AE23" s="97">
        <v>5</v>
      </c>
      <c r="AF23" s="97">
        <v>6</v>
      </c>
      <c r="AG23" s="97">
        <v>6</v>
      </c>
      <c r="AH23" s="97">
        <v>6</v>
      </c>
      <c r="AI23" s="97">
        <v>5</v>
      </c>
      <c r="AJ23" s="97">
        <v>4</v>
      </c>
      <c r="AK23" s="97">
        <v>3</v>
      </c>
      <c r="AL23" s="97">
        <v>2</v>
      </c>
      <c r="AM23" s="97">
        <v>2</v>
      </c>
      <c r="AN23" s="97">
        <v>2</v>
      </c>
      <c r="AO23" s="97">
        <v>2</v>
      </c>
    </row>
    <row r="24" spans="1:41" ht="14.4" x14ac:dyDescent="0.3">
      <c r="A24" s="98" t="s">
        <v>102</v>
      </c>
      <c r="C24" s="60" t="s">
        <v>68</v>
      </c>
      <c r="D24" s="60" t="s">
        <v>70</v>
      </c>
      <c r="E24" s="126">
        <v>6</v>
      </c>
      <c r="F24" s="126">
        <v>6</v>
      </c>
      <c r="G24" s="126">
        <v>6</v>
      </c>
      <c r="H24" s="126">
        <v>6</v>
      </c>
      <c r="I24" s="126">
        <v>6</v>
      </c>
      <c r="J24" s="126">
        <v>8</v>
      </c>
      <c r="K24" s="126">
        <v>8</v>
      </c>
      <c r="L24" s="126">
        <v>8</v>
      </c>
      <c r="M24" s="126">
        <v>8</v>
      </c>
      <c r="N24" s="126">
        <v>8</v>
      </c>
      <c r="O24" s="126">
        <v>8</v>
      </c>
      <c r="P24" s="126">
        <v>8</v>
      </c>
      <c r="Q24" s="126">
        <v>8</v>
      </c>
      <c r="R24" s="126">
        <v>8</v>
      </c>
      <c r="S24" s="126">
        <v>8</v>
      </c>
      <c r="T24" s="124">
        <v>8</v>
      </c>
      <c r="U24" s="124">
        <v>8</v>
      </c>
      <c r="V24" s="124">
        <v>8</v>
      </c>
      <c r="W24" s="124">
        <v>8</v>
      </c>
      <c r="X24" s="124">
        <v>8</v>
      </c>
      <c r="Y24" s="124">
        <v>7</v>
      </c>
      <c r="Z24" s="124">
        <v>7</v>
      </c>
      <c r="AA24" s="124">
        <v>7</v>
      </c>
      <c r="AB24" s="124">
        <v>7</v>
      </c>
      <c r="AC24" s="124">
        <v>6</v>
      </c>
      <c r="AD24" s="124">
        <v>6</v>
      </c>
      <c r="AE24" s="124">
        <v>6</v>
      </c>
      <c r="AF24" s="124">
        <v>6</v>
      </c>
      <c r="AG24" s="126">
        <v>5</v>
      </c>
      <c r="AH24" s="126">
        <v>5</v>
      </c>
      <c r="AI24" s="126">
        <v>5</v>
      </c>
      <c r="AJ24" s="126">
        <v>5</v>
      </c>
      <c r="AK24" s="126">
        <v>4</v>
      </c>
      <c r="AL24" s="126">
        <v>4</v>
      </c>
      <c r="AM24" s="126">
        <v>4</v>
      </c>
      <c r="AN24" s="126">
        <v>4</v>
      </c>
      <c r="AO24" s="126">
        <v>4</v>
      </c>
    </row>
    <row r="25" spans="1:41" ht="14.4" x14ac:dyDescent="0.3">
      <c r="A25" s="98" t="s">
        <v>96</v>
      </c>
      <c r="C25" s="60" t="s">
        <v>101</v>
      </c>
      <c r="D25" s="60" t="s">
        <v>70</v>
      </c>
      <c r="E25" s="97">
        <v>8</v>
      </c>
      <c r="F25" s="97">
        <v>8</v>
      </c>
      <c r="G25" s="97">
        <v>8</v>
      </c>
      <c r="H25" s="97">
        <v>8</v>
      </c>
      <c r="I25" s="97">
        <v>8</v>
      </c>
      <c r="J25" s="97">
        <v>8</v>
      </c>
      <c r="K25" s="97">
        <v>8</v>
      </c>
      <c r="L25" s="97">
        <v>5</v>
      </c>
      <c r="M25" s="97">
        <v>5</v>
      </c>
      <c r="N25" s="97">
        <v>5</v>
      </c>
      <c r="O25" s="97">
        <v>5</v>
      </c>
      <c r="P25" s="97">
        <v>5</v>
      </c>
      <c r="Q25" s="97">
        <v>5</v>
      </c>
      <c r="R25" s="97">
        <v>4</v>
      </c>
      <c r="S25" s="97">
        <v>4</v>
      </c>
      <c r="T25" s="97">
        <v>3</v>
      </c>
      <c r="U25" s="97">
        <v>2</v>
      </c>
      <c r="V25" s="97">
        <v>2</v>
      </c>
      <c r="W25" s="97">
        <v>2</v>
      </c>
      <c r="X25" s="97">
        <v>1</v>
      </c>
      <c r="Y25" s="97">
        <v>0</v>
      </c>
      <c r="Z25" s="97">
        <v>0</v>
      </c>
      <c r="AA25" s="126">
        <v>0</v>
      </c>
      <c r="AB25" s="126">
        <v>0</v>
      </c>
      <c r="AC25" s="126">
        <v>0</v>
      </c>
      <c r="AD25" s="126">
        <v>0</v>
      </c>
      <c r="AE25" s="126">
        <v>0</v>
      </c>
      <c r="AF25" s="126">
        <v>0</v>
      </c>
      <c r="AG25" s="126">
        <v>0</v>
      </c>
      <c r="AH25" s="126">
        <v>0</v>
      </c>
      <c r="AI25" s="126">
        <v>0</v>
      </c>
      <c r="AJ25" s="126">
        <v>0</v>
      </c>
      <c r="AK25" s="126">
        <v>0</v>
      </c>
      <c r="AL25" s="126">
        <v>0</v>
      </c>
      <c r="AM25" s="126">
        <v>0</v>
      </c>
      <c r="AN25" s="126">
        <v>0</v>
      </c>
      <c r="AO25" s="126">
        <v>0</v>
      </c>
    </row>
    <row r="26" spans="1:41" ht="14.4" x14ac:dyDescent="0.3">
      <c r="A26" s="98" t="s">
        <v>84</v>
      </c>
      <c r="C26" s="60" t="s">
        <v>68</v>
      </c>
      <c r="D26" s="60" t="s">
        <v>70</v>
      </c>
      <c r="E26" s="122">
        <v>8</v>
      </c>
      <c r="F26" s="122">
        <v>6</v>
      </c>
      <c r="G26" s="122">
        <v>6</v>
      </c>
      <c r="H26" s="122">
        <v>6</v>
      </c>
      <c r="I26" s="122">
        <v>5</v>
      </c>
      <c r="J26" s="122">
        <v>4</v>
      </c>
      <c r="K26" s="122">
        <v>4</v>
      </c>
      <c r="L26" s="122">
        <v>4</v>
      </c>
      <c r="M26" s="122">
        <v>4</v>
      </c>
      <c r="N26" s="122">
        <v>4</v>
      </c>
      <c r="O26" s="122">
        <v>4</v>
      </c>
      <c r="P26" s="122">
        <v>4</v>
      </c>
      <c r="Q26" s="122">
        <v>3</v>
      </c>
      <c r="R26" s="122">
        <v>3</v>
      </c>
      <c r="S26" s="122">
        <v>3</v>
      </c>
      <c r="T26" s="122">
        <v>3</v>
      </c>
      <c r="U26" s="121">
        <v>2</v>
      </c>
      <c r="V26" s="121">
        <v>2</v>
      </c>
      <c r="W26" s="121">
        <v>2</v>
      </c>
      <c r="X26" s="121">
        <v>2</v>
      </c>
      <c r="Y26" s="121">
        <v>1</v>
      </c>
      <c r="Z26" s="121">
        <v>1</v>
      </c>
      <c r="AA26" s="121">
        <v>1</v>
      </c>
      <c r="AB26" s="121">
        <v>1</v>
      </c>
      <c r="AC26" s="121">
        <v>1</v>
      </c>
      <c r="AD26" s="121">
        <v>0</v>
      </c>
      <c r="AE26" s="121">
        <v>0</v>
      </c>
      <c r="AF26" s="121">
        <v>0</v>
      </c>
      <c r="AG26" s="121">
        <v>0</v>
      </c>
      <c r="AH26" s="121">
        <v>0</v>
      </c>
      <c r="AI26" s="121">
        <v>0</v>
      </c>
      <c r="AJ26" s="121">
        <v>0</v>
      </c>
      <c r="AK26" s="121">
        <v>0</v>
      </c>
      <c r="AL26" s="121">
        <v>0</v>
      </c>
      <c r="AM26" s="121">
        <v>0</v>
      </c>
      <c r="AN26" s="121">
        <v>0</v>
      </c>
      <c r="AO26" s="121">
        <v>0</v>
      </c>
    </row>
    <row r="27" spans="1:41" ht="14.4" x14ac:dyDescent="0.3">
      <c r="A27" s="101" t="s">
        <v>104</v>
      </c>
      <c r="C27" s="60" t="s">
        <v>100</v>
      </c>
      <c r="D27" s="60" t="s">
        <v>62</v>
      </c>
      <c r="E27" s="97">
        <v>20</v>
      </c>
      <c r="F27" s="97">
        <v>20</v>
      </c>
      <c r="G27" s="97">
        <v>20</v>
      </c>
      <c r="H27" s="97">
        <v>20</v>
      </c>
      <c r="I27" s="97">
        <v>20</v>
      </c>
      <c r="J27" s="97">
        <v>20</v>
      </c>
      <c r="K27" s="97">
        <v>20</v>
      </c>
      <c r="L27" s="97">
        <v>20</v>
      </c>
      <c r="M27" s="97">
        <v>20</v>
      </c>
      <c r="N27" s="97">
        <v>20</v>
      </c>
      <c r="O27" s="97">
        <v>20</v>
      </c>
      <c r="P27" s="97">
        <v>20</v>
      </c>
      <c r="Q27" s="97">
        <v>20</v>
      </c>
      <c r="R27" s="97">
        <v>20</v>
      </c>
      <c r="S27" s="97">
        <v>20</v>
      </c>
      <c r="T27" s="97">
        <v>15</v>
      </c>
      <c r="U27" s="97">
        <v>15</v>
      </c>
      <c r="V27" s="97">
        <v>15</v>
      </c>
      <c r="W27" s="97">
        <v>15</v>
      </c>
      <c r="X27" s="97">
        <v>15</v>
      </c>
      <c r="Y27" s="97">
        <v>15</v>
      </c>
      <c r="Z27" s="97">
        <v>15</v>
      </c>
      <c r="AA27" s="97">
        <v>15</v>
      </c>
      <c r="AB27" s="97">
        <v>15</v>
      </c>
      <c r="AC27" s="97">
        <v>15</v>
      </c>
      <c r="AD27" s="97">
        <v>15</v>
      </c>
      <c r="AE27" s="97">
        <v>10</v>
      </c>
      <c r="AF27" s="97">
        <v>10</v>
      </c>
      <c r="AG27" s="97">
        <v>10</v>
      </c>
      <c r="AH27" s="97">
        <v>10</v>
      </c>
      <c r="AI27" s="97">
        <v>8</v>
      </c>
      <c r="AJ27" s="97">
        <v>5</v>
      </c>
      <c r="AK27" s="97">
        <v>5</v>
      </c>
      <c r="AL27" s="97">
        <v>5</v>
      </c>
      <c r="AM27" s="97">
        <v>5</v>
      </c>
      <c r="AN27" s="97">
        <v>5</v>
      </c>
      <c r="AO27" s="97">
        <v>5</v>
      </c>
    </row>
    <row r="28" spans="1:41" ht="14.4" x14ac:dyDescent="0.3">
      <c r="A28" s="98" t="s">
        <v>105</v>
      </c>
      <c r="C28" s="60" t="s">
        <v>100</v>
      </c>
      <c r="D28" s="60" t="s">
        <v>62</v>
      </c>
      <c r="E28" s="97">
        <v>4</v>
      </c>
      <c r="F28" s="97">
        <v>4</v>
      </c>
      <c r="G28" s="97">
        <v>4</v>
      </c>
      <c r="H28" s="97">
        <v>4</v>
      </c>
      <c r="I28" s="97">
        <v>4</v>
      </c>
      <c r="J28" s="97">
        <v>4</v>
      </c>
      <c r="K28" s="97">
        <v>4</v>
      </c>
      <c r="L28" s="97">
        <v>4</v>
      </c>
      <c r="M28" s="97">
        <v>4</v>
      </c>
      <c r="N28" s="97">
        <v>4</v>
      </c>
      <c r="O28" s="97">
        <v>4</v>
      </c>
      <c r="P28" s="97">
        <v>4</v>
      </c>
      <c r="Q28" s="97">
        <v>4</v>
      </c>
      <c r="R28" s="97">
        <v>4</v>
      </c>
      <c r="S28" s="97">
        <v>4</v>
      </c>
      <c r="T28" s="97">
        <v>4</v>
      </c>
      <c r="U28" s="97">
        <v>4</v>
      </c>
      <c r="V28" s="97">
        <v>4</v>
      </c>
      <c r="W28" s="97">
        <v>4</v>
      </c>
      <c r="X28" s="97">
        <v>4</v>
      </c>
      <c r="Y28" s="97">
        <v>4</v>
      </c>
      <c r="Z28" s="97">
        <v>4</v>
      </c>
      <c r="AA28" s="97">
        <v>4</v>
      </c>
      <c r="AB28" s="97">
        <v>4</v>
      </c>
      <c r="AC28" s="97">
        <v>4</v>
      </c>
      <c r="AD28" s="97">
        <v>4</v>
      </c>
      <c r="AE28" s="97">
        <v>1</v>
      </c>
      <c r="AF28" s="97">
        <v>1</v>
      </c>
      <c r="AG28" s="97">
        <v>1</v>
      </c>
      <c r="AH28" s="97">
        <v>1</v>
      </c>
      <c r="AI28" s="97">
        <v>1</v>
      </c>
      <c r="AJ28" s="97">
        <v>1</v>
      </c>
      <c r="AK28" s="97">
        <v>1</v>
      </c>
      <c r="AL28" s="97">
        <v>1</v>
      </c>
      <c r="AM28" s="97">
        <v>1</v>
      </c>
      <c r="AN28" s="97">
        <v>1</v>
      </c>
      <c r="AO28" s="97">
        <v>1</v>
      </c>
    </row>
    <row r="29" spans="1:41" ht="14.4" x14ac:dyDescent="0.3">
      <c r="A29" s="98" t="s">
        <v>106</v>
      </c>
      <c r="C29" s="60" t="s">
        <v>100</v>
      </c>
      <c r="D29" s="60" t="s">
        <v>70</v>
      </c>
      <c r="E29" s="97">
        <v>4</v>
      </c>
      <c r="F29" s="97">
        <v>4</v>
      </c>
      <c r="G29" s="97">
        <v>4</v>
      </c>
      <c r="H29" s="97">
        <v>4</v>
      </c>
      <c r="I29" s="97">
        <v>4</v>
      </c>
      <c r="J29" s="97">
        <v>4</v>
      </c>
      <c r="K29" s="97">
        <v>4</v>
      </c>
      <c r="L29" s="97">
        <v>4</v>
      </c>
      <c r="M29" s="97">
        <v>4</v>
      </c>
      <c r="N29" s="97">
        <v>4</v>
      </c>
      <c r="O29" s="97">
        <v>4</v>
      </c>
      <c r="P29" s="97">
        <v>4</v>
      </c>
      <c r="Q29" s="97">
        <v>4</v>
      </c>
      <c r="R29" s="97">
        <v>4</v>
      </c>
      <c r="S29" s="97">
        <v>4</v>
      </c>
      <c r="T29" s="97">
        <v>4</v>
      </c>
      <c r="U29" s="97">
        <v>4</v>
      </c>
      <c r="V29" s="97">
        <v>4</v>
      </c>
      <c r="W29" s="97">
        <v>4</v>
      </c>
      <c r="X29" s="97">
        <v>4</v>
      </c>
      <c r="Y29" s="97">
        <v>4</v>
      </c>
      <c r="Z29" s="97">
        <v>4</v>
      </c>
      <c r="AA29" s="97">
        <v>4</v>
      </c>
      <c r="AB29" s="97">
        <v>4</v>
      </c>
      <c r="AC29" s="97">
        <v>4</v>
      </c>
      <c r="AD29" s="97">
        <v>4</v>
      </c>
      <c r="AE29" s="97">
        <v>4</v>
      </c>
      <c r="AF29" s="97">
        <v>4</v>
      </c>
      <c r="AG29" s="97">
        <v>4</v>
      </c>
      <c r="AH29" s="97">
        <v>4</v>
      </c>
      <c r="AI29" s="97">
        <v>4</v>
      </c>
      <c r="AJ29" s="97">
        <v>4</v>
      </c>
      <c r="AK29" s="97">
        <v>4</v>
      </c>
      <c r="AL29" s="97">
        <v>3</v>
      </c>
      <c r="AM29" s="97">
        <v>3</v>
      </c>
      <c r="AN29" s="97">
        <v>3</v>
      </c>
      <c r="AO29" s="97">
        <v>3</v>
      </c>
    </row>
    <row r="30" spans="1:41" ht="14.4" x14ac:dyDescent="0.3">
      <c r="A30" s="60" t="s">
        <v>86</v>
      </c>
      <c r="C30" s="60" t="s">
        <v>103</v>
      </c>
      <c r="D30" s="60" t="s">
        <v>62</v>
      </c>
      <c r="E30" s="97">
        <v>20</v>
      </c>
      <c r="F30" s="97">
        <v>20</v>
      </c>
      <c r="G30" s="97">
        <v>20</v>
      </c>
      <c r="H30" s="97">
        <v>20</v>
      </c>
      <c r="I30" s="97">
        <v>20</v>
      </c>
      <c r="J30" s="97">
        <v>20</v>
      </c>
      <c r="K30" s="97">
        <v>20</v>
      </c>
      <c r="L30" s="97">
        <v>20</v>
      </c>
      <c r="M30" s="100">
        <v>20</v>
      </c>
      <c r="N30" s="100">
        <v>20</v>
      </c>
      <c r="O30" s="100">
        <v>20</v>
      </c>
      <c r="P30" s="100">
        <v>20</v>
      </c>
      <c r="Q30" s="127">
        <v>20</v>
      </c>
      <c r="R30" s="127">
        <v>20</v>
      </c>
      <c r="S30" s="127">
        <v>20</v>
      </c>
      <c r="T30" s="127">
        <v>20</v>
      </c>
      <c r="U30" s="127">
        <v>20</v>
      </c>
      <c r="V30" s="127">
        <v>20</v>
      </c>
      <c r="W30" s="127">
        <v>20</v>
      </c>
      <c r="X30" s="127">
        <v>20</v>
      </c>
      <c r="Y30" s="127">
        <v>20</v>
      </c>
      <c r="Z30" s="127">
        <v>20</v>
      </c>
      <c r="AA30" s="127">
        <v>20</v>
      </c>
      <c r="AB30" s="127">
        <v>20</v>
      </c>
      <c r="AC30" s="127">
        <v>20</v>
      </c>
      <c r="AD30" s="127">
        <v>20</v>
      </c>
      <c r="AE30" s="127">
        <v>20</v>
      </c>
      <c r="AF30" s="127">
        <v>20</v>
      </c>
      <c r="AG30" s="127">
        <v>20</v>
      </c>
      <c r="AH30" s="127">
        <v>20</v>
      </c>
      <c r="AI30" s="127">
        <v>20</v>
      </c>
      <c r="AJ30" s="127">
        <v>20</v>
      </c>
      <c r="AK30" s="127">
        <v>20</v>
      </c>
      <c r="AL30" s="127">
        <v>20</v>
      </c>
      <c r="AM30" s="127">
        <v>20</v>
      </c>
      <c r="AN30" s="126">
        <v>15</v>
      </c>
      <c r="AO30" s="126">
        <v>0</v>
      </c>
    </row>
    <row r="31" spans="1:41" ht="14.4" x14ac:dyDescent="0.3">
      <c r="A31" t="s">
        <v>85</v>
      </c>
      <c r="C31" s="60" t="s">
        <v>103</v>
      </c>
      <c r="D31" s="60" t="s">
        <v>62</v>
      </c>
      <c r="E31" s="97">
        <v>10</v>
      </c>
      <c r="F31" s="97">
        <v>10</v>
      </c>
      <c r="G31" s="97">
        <v>10</v>
      </c>
      <c r="H31" s="97">
        <v>6</v>
      </c>
      <c r="I31" s="97">
        <v>6</v>
      </c>
      <c r="J31" s="97">
        <v>6</v>
      </c>
      <c r="K31" s="97">
        <v>6</v>
      </c>
      <c r="L31" s="97">
        <v>6</v>
      </c>
      <c r="M31" s="100">
        <v>6</v>
      </c>
      <c r="N31" s="100">
        <v>6</v>
      </c>
      <c r="O31" s="100">
        <v>6</v>
      </c>
      <c r="P31" s="100">
        <v>6</v>
      </c>
      <c r="Q31" s="127">
        <v>6</v>
      </c>
      <c r="R31" s="127">
        <v>6</v>
      </c>
      <c r="S31" s="127">
        <v>6</v>
      </c>
      <c r="T31" s="127">
        <v>6</v>
      </c>
      <c r="U31" s="127">
        <v>6</v>
      </c>
      <c r="V31" s="127">
        <v>6</v>
      </c>
      <c r="W31" s="127">
        <v>6</v>
      </c>
      <c r="X31" s="127">
        <v>6</v>
      </c>
      <c r="Y31" s="127">
        <v>6</v>
      </c>
      <c r="Z31" s="127">
        <v>6</v>
      </c>
      <c r="AA31" s="127">
        <v>6</v>
      </c>
      <c r="AB31" s="127">
        <v>6</v>
      </c>
      <c r="AC31" s="127">
        <v>6</v>
      </c>
      <c r="AD31" s="127">
        <v>6</v>
      </c>
      <c r="AE31" s="127">
        <v>6</v>
      </c>
      <c r="AF31" s="127">
        <v>6</v>
      </c>
      <c r="AG31" s="127">
        <v>6</v>
      </c>
      <c r="AH31" s="127">
        <v>6</v>
      </c>
      <c r="AI31" s="127">
        <v>6</v>
      </c>
      <c r="AJ31" s="127">
        <v>6</v>
      </c>
      <c r="AK31" s="127">
        <v>6</v>
      </c>
      <c r="AL31" s="127">
        <v>6</v>
      </c>
      <c r="AM31" s="127">
        <v>6</v>
      </c>
      <c r="AN31" s="127">
        <v>6</v>
      </c>
      <c r="AO31" s="127">
        <v>6</v>
      </c>
    </row>
    <row r="32" spans="1:41" ht="14.4" x14ac:dyDescent="0.3">
      <c r="A32" t="s">
        <v>87</v>
      </c>
      <c r="C32" s="60" t="s">
        <v>103</v>
      </c>
      <c r="D32" s="60" t="s">
        <v>62</v>
      </c>
      <c r="E32" s="97">
        <v>15</v>
      </c>
      <c r="F32" s="97">
        <v>15</v>
      </c>
      <c r="G32" s="97">
        <v>15</v>
      </c>
      <c r="H32" s="97">
        <v>15</v>
      </c>
      <c r="I32" s="97">
        <v>15</v>
      </c>
      <c r="J32" s="97">
        <v>15</v>
      </c>
      <c r="K32" s="97">
        <v>15</v>
      </c>
      <c r="L32" s="97">
        <v>15</v>
      </c>
      <c r="M32" s="100">
        <v>15</v>
      </c>
      <c r="N32" s="100">
        <v>15</v>
      </c>
      <c r="O32" s="100">
        <v>15</v>
      </c>
      <c r="P32" s="100">
        <v>15</v>
      </c>
      <c r="Q32" s="127">
        <v>15</v>
      </c>
      <c r="R32" s="127">
        <v>15</v>
      </c>
      <c r="S32" s="127">
        <v>15</v>
      </c>
      <c r="T32" s="127">
        <v>15</v>
      </c>
      <c r="U32" s="127">
        <v>15</v>
      </c>
      <c r="V32" s="127">
        <v>15</v>
      </c>
      <c r="W32" s="127">
        <v>15</v>
      </c>
      <c r="X32" s="127">
        <v>15</v>
      </c>
      <c r="Y32" s="127">
        <v>15</v>
      </c>
      <c r="Z32" s="127">
        <v>15</v>
      </c>
      <c r="AA32" s="127">
        <v>15</v>
      </c>
      <c r="AB32" s="127">
        <v>15</v>
      </c>
      <c r="AC32" s="127">
        <v>15</v>
      </c>
      <c r="AD32" s="127">
        <v>15</v>
      </c>
      <c r="AE32" s="127">
        <v>15</v>
      </c>
      <c r="AF32" s="127">
        <v>15</v>
      </c>
      <c r="AG32" s="127">
        <v>15</v>
      </c>
      <c r="AH32" s="127">
        <v>15</v>
      </c>
      <c r="AI32" s="127">
        <v>15</v>
      </c>
      <c r="AJ32" s="127">
        <v>15</v>
      </c>
      <c r="AK32" s="127">
        <v>15</v>
      </c>
      <c r="AL32" s="127">
        <v>15</v>
      </c>
      <c r="AM32" s="127">
        <v>15</v>
      </c>
      <c r="AN32" s="127">
        <v>15</v>
      </c>
      <c r="AO32" s="127">
        <v>0</v>
      </c>
    </row>
    <row r="33" spans="1:41" ht="14.4" x14ac:dyDescent="0.3">
      <c r="A33" s="120" t="s">
        <v>107</v>
      </c>
      <c r="C33" s="125" t="s">
        <v>100</v>
      </c>
      <c r="D33" s="60" t="s">
        <v>62</v>
      </c>
      <c r="E33" s="97">
        <v>20</v>
      </c>
      <c r="F33" s="126">
        <v>20</v>
      </c>
      <c r="G33" s="126">
        <v>20</v>
      </c>
      <c r="H33" s="126">
        <v>20</v>
      </c>
      <c r="I33" s="126">
        <v>20</v>
      </c>
      <c r="J33" s="126">
        <v>20</v>
      </c>
      <c r="K33" s="126">
        <v>20</v>
      </c>
      <c r="L33" s="126">
        <v>20</v>
      </c>
      <c r="M33" s="126">
        <v>20</v>
      </c>
      <c r="N33" s="126">
        <v>20</v>
      </c>
      <c r="O33" s="126">
        <v>20</v>
      </c>
      <c r="P33" s="126">
        <v>20</v>
      </c>
      <c r="Q33" s="126">
        <v>20</v>
      </c>
      <c r="R33" s="126">
        <v>20</v>
      </c>
      <c r="S33" s="126">
        <v>20</v>
      </c>
      <c r="T33" s="126">
        <v>20</v>
      </c>
      <c r="U33" s="126">
        <v>20</v>
      </c>
      <c r="V33" s="126">
        <v>20</v>
      </c>
      <c r="W33" s="126">
        <v>20</v>
      </c>
      <c r="X33" s="126">
        <v>20</v>
      </c>
      <c r="Y33" s="126">
        <v>20</v>
      </c>
      <c r="Z33" s="2">
        <v>15</v>
      </c>
      <c r="AA33" s="2">
        <v>15</v>
      </c>
      <c r="AB33" s="124">
        <v>15</v>
      </c>
      <c r="AC33" s="124">
        <v>15</v>
      </c>
      <c r="AD33" s="2">
        <v>10</v>
      </c>
      <c r="AE33" s="124">
        <v>8</v>
      </c>
      <c r="AF33" s="124">
        <v>6</v>
      </c>
      <c r="AG33" s="124">
        <v>6</v>
      </c>
      <c r="AH33" s="124">
        <v>6</v>
      </c>
      <c r="AI33" s="124">
        <v>1</v>
      </c>
      <c r="AJ33" s="124">
        <v>1</v>
      </c>
      <c r="AK33" s="124">
        <v>1</v>
      </c>
      <c r="AL33" s="124">
        <v>1</v>
      </c>
      <c r="AM33" s="124">
        <v>0</v>
      </c>
      <c r="AN33" s="124">
        <v>0</v>
      </c>
      <c r="AO33" s="124">
        <v>0</v>
      </c>
    </row>
    <row r="34" spans="1:41" ht="14.4" x14ac:dyDescent="0.3">
      <c r="C34" s="60"/>
      <c r="D34" s="60" t="s">
        <v>13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</row>
    <row r="35" spans="1:41" ht="14.4" x14ac:dyDescent="0.3">
      <c r="D35" s="60" t="s">
        <v>13</v>
      </c>
      <c r="E35" s="97"/>
      <c r="F35" s="97"/>
      <c r="G35" s="97"/>
      <c r="H35" s="97"/>
      <c r="I35" s="97"/>
      <c r="J35" s="97"/>
      <c r="K35" s="97"/>
      <c r="L35" s="97"/>
    </row>
    <row r="36" spans="1:41" x14ac:dyDescent="0.25">
      <c r="D36" t="str">
        <f>IF(A32&lt;&gt;"","Planned","")</f>
        <v>Planned</v>
      </c>
      <c r="F36" s="2" t="str">
        <f t="shared" ref="F36:F62" si="4">IF(OR(F$14="",$E36=""),"",E36)</f>
        <v/>
      </c>
    </row>
    <row r="37" spans="1:41" x14ac:dyDescent="0.25">
      <c r="D37" t="str">
        <f>IF(A37&lt;&gt;"","Planned","")</f>
        <v/>
      </c>
      <c r="F37" s="2" t="str">
        <f t="shared" si="4"/>
        <v/>
      </c>
      <c r="AC37" s="2" t="str">
        <f t="shared" ref="AC37:AC63" si="5">IF(OR(AC$14="",$E36=""),"",AB37)</f>
        <v/>
      </c>
      <c r="AD37" s="2" t="str">
        <f t="shared" ref="AD37:AD63" si="6">IF(OR(AD$14="",$E36=""),"",AC37)</f>
        <v/>
      </c>
    </row>
    <row r="38" spans="1:41" x14ac:dyDescent="0.25">
      <c r="D38" t="str">
        <f>IF(A38&lt;&gt;"","Planned","")</f>
        <v/>
      </c>
      <c r="F38" s="2" t="str">
        <f t="shared" si="4"/>
        <v/>
      </c>
      <c r="AC38" s="2" t="str">
        <f t="shared" si="5"/>
        <v/>
      </c>
      <c r="AD38" s="2" t="str">
        <f t="shared" si="6"/>
        <v/>
      </c>
    </row>
    <row r="39" spans="1:41" x14ac:dyDescent="0.25">
      <c r="D39" t="str">
        <f>IF(A39&lt;&gt;"","Planned","")</f>
        <v/>
      </c>
      <c r="F39" s="2" t="str">
        <f t="shared" si="4"/>
        <v/>
      </c>
      <c r="AC39" s="2" t="str">
        <f t="shared" si="5"/>
        <v/>
      </c>
      <c r="AD39" s="2" t="str">
        <f t="shared" si="6"/>
        <v/>
      </c>
    </row>
    <row r="40" spans="1:41" x14ac:dyDescent="0.25">
      <c r="D40" t="str">
        <f t="shared" ref="D40:D62" si="7">IF(A40&lt;&gt;"","Planned","")</f>
        <v/>
      </c>
      <c r="F40" s="2" t="str">
        <f t="shared" si="4"/>
        <v/>
      </c>
      <c r="AC40" s="2" t="str">
        <f t="shared" si="5"/>
        <v/>
      </c>
      <c r="AD40" s="2" t="str">
        <f t="shared" si="6"/>
        <v/>
      </c>
    </row>
    <row r="41" spans="1:41" x14ac:dyDescent="0.25">
      <c r="D41" t="str">
        <f t="shared" si="7"/>
        <v/>
      </c>
      <c r="F41" s="2" t="str">
        <f t="shared" si="4"/>
        <v/>
      </c>
      <c r="AC41" s="2" t="str">
        <f t="shared" si="5"/>
        <v/>
      </c>
      <c r="AD41" s="2" t="str">
        <f t="shared" si="6"/>
        <v/>
      </c>
    </row>
    <row r="42" spans="1:41" x14ac:dyDescent="0.25">
      <c r="D42" t="str">
        <f t="shared" si="7"/>
        <v/>
      </c>
      <c r="F42" s="2" t="str">
        <f t="shared" si="4"/>
        <v/>
      </c>
      <c r="AC42" s="2" t="str">
        <f t="shared" si="5"/>
        <v/>
      </c>
      <c r="AD42" s="2" t="str">
        <f t="shared" si="6"/>
        <v/>
      </c>
    </row>
    <row r="43" spans="1:41" x14ac:dyDescent="0.25">
      <c r="D43" t="str">
        <f t="shared" si="7"/>
        <v/>
      </c>
      <c r="F43" s="2" t="str">
        <f t="shared" si="4"/>
        <v/>
      </c>
      <c r="AC43" s="2" t="str">
        <f t="shared" si="5"/>
        <v/>
      </c>
      <c r="AD43" s="2" t="str">
        <f t="shared" si="6"/>
        <v/>
      </c>
    </row>
    <row r="44" spans="1:41" x14ac:dyDescent="0.25">
      <c r="D44" t="str">
        <f t="shared" si="7"/>
        <v/>
      </c>
      <c r="F44" s="2" t="str">
        <f t="shared" si="4"/>
        <v/>
      </c>
      <c r="AC44" s="2" t="str">
        <f t="shared" si="5"/>
        <v/>
      </c>
      <c r="AD44" s="2" t="str">
        <f t="shared" si="6"/>
        <v/>
      </c>
    </row>
    <row r="45" spans="1:41" x14ac:dyDescent="0.25">
      <c r="D45" t="str">
        <f t="shared" si="7"/>
        <v/>
      </c>
      <c r="F45" s="2" t="str">
        <f t="shared" si="4"/>
        <v/>
      </c>
      <c r="AC45" s="2" t="str">
        <f t="shared" si="5"/>
        <v/>
      </c>
      <c r="AD45" s="2" t="str">
        <f t="shared" si="6"/>
        <v/>
      </c>
    </row>
    <row r="46" spans="1:41" x14ac:dyDescent="0.25">
      <c r="D46" t="str">
        <f t="shared" si="7"/>
        <v/>
      </c>
      <c r="F46" s="2" t="str">
        <f t="shared" si="4"/>
        <v/>
      </c>
      <c r="AC46" s="2" t="str">
        <f t="shared" si="5"/>
        <v/>
      </c>
      <c r="AD46" s="2" t="str">
        <f t="shared" si="6"/>
        <v/>
      </c>
    </row>
    <row r="47" spans="1:41" x14ac:dyDescent="0.25">
      <c r="D47" t="str">
        <f t="shared" si="7"/>
        <v/>
      </c>
      <c r="F47" s="2" t="str">
        <f t="shared" si="4"/>
        <v/>
      </c>
      <c r="AC47" s="2" t="str">
        <f t="shared" si="5"/>
        <v/>
      </c>
      <c r="AD47" s="2" t="str">
        <f t="shared" si="6"/>
        <v/>
      </c>
    </row>
    <row r="48" spans="1:41" x14ac:dyDescent="0.25">
      <c r="D48" t="str">
        <f t="shared" si="7"/>
        <v/>
      </c>
      <c r="F48" s="2" t="str">
        <f t="shared" si="4"/>
        <v/>
      </c>
      <c r="AC48" s="2" t="str">
        <f t="shared" si="5"/>
        <v/>
      </c>
      <c r="AD48" s="2" t="str">
        <f t="shared" si="6"/>
        <v/>
      </c>
    </row>
    <row r="49" spans="1:30" x14ac:dyDescent="0.25">
      <c r="D49" t="str">
        <f t="shared" si="7"/>
        <v/>
      </c>
      <c r="F49" s="2" t="str">
        <f t="shared" si="4"/>
        <v/>
      </c>
      <c r="AC49" s="2" t="str">
        <f t="shared" si="5"/>
        <v/>
      </c>
      <c r="AD49" s="2" t="str">
        <f t="shared" si="6"/>
        <v/>
      </c>
    </row>
    <row r="50" spans="1:30" x14ac:dyDescent="0.25">
      <c r="D50" t="str">
        <f t="shared" si="7"/>
        <v/>
      </c>
      <c r="F50" s="2" t="str">
        <f t="shared" si="4"/>
        <v/>
      </c>
      <c r="AC50" s="2" t="str">
        <f t="shared" si="5"/>
        <v/>
      </c>
      <c r="AD50" s="2" t="str">
        <f t="shared" si="6"/>
        <v/>
      </c>
    </row>
    <row r="51" spans="1:30" x14ac:dyDescent="0.25">
      <c r="D51" t="str">
        <f t="shared" si="7"/>
        <v/>
      </c>
      <c r="F51" s="2" t="str">
        <f t="shared" si="4"/>
        <v/>
      </c>
      <c r="AC51" s="2" t="str">
        <f t="shared" si="5"/>
        <v/>
      </c>
      <c r="AD51" s="2" t="str">
        <f t="shared" si="6"/>
        <v/>
      </c>
    </row>
    <row r="52" spans="1:30" x14ac:dyDescent="0.25">
      <c r="D52" t="str">
        <f t="shared" si="7"/>
        <v/>
      </c>
      <c r="F52" s="2" t="str">
        <f t="shared" si="4"/>
        <v/>
      </c>
      <c r="AC52" s="2" t="str">
        <f t="shared" si="5"/>
        <v/>
      </c>
      <c r="AD52" s="2" t="str">
        <f t="shared" si="6"/>
        <v/>
      </c>
    </row>
    <row r="53" spans="1:30" x14ac:dyDescent="0.25">
      <c r="D53" t="str">
        <f t="shared" si="7"/>
        <v/>
      </c>
      <c r="F53" s="2" t="str">
        <f t="shared" si="4"/>
        <v/>
      </c>
      <c r="AC53" s="2" t="str">
        <f t="shared" si="5"/>
        <v/>
      </c>
      <c r="AD53" s="2" t="str">
        <f t="shared" si="6"/>
        <v/>
      </c>
    </row>
    <row r="54" spans="1:30" x14ac:dyDescent="0.25">
      <c r="D54" t="str">
        <f t="shared" si="7"/>
        <v/>
      </c>
      <c r="F54" s="2" t="str">
        <f t="shared" si="4"/>
        <v/>
      </c>
      <c r="AC54" s="2" t="str">
        <f t="shared" si="5"/>
        <v/>
      </c>
      <c r="AD54" s="2" t="str">
        <f t="shared" si="6"/>
        <v/>
      </c>
    </row>
    <row r="55" spans="1:30" x14ac:dyDescent="0.25">
      <c r="D55" t="str">
        <f t="shared" si="7"/>
        <v/>
      </c>
      <c r="F55" s="2" t="str">
        <f t="shared" si="4"/>
        <v/>
      </c>
      <c r="AC55" s="2" t="str">
        <f t="shared" si="5"/>
        <v/>
      </c>
      <c r="AD55" s="2" t="str">
        <f t="shared" si="6"/>
        <v/>
      </c>
    </row>
    <row r="56" spans="1:30" x14ac:dyDescent="0.25">
      <c r="D56" t="str">
        <f t="shared" si="7"/>
        <v/>
      </c>
      <c r="F56" s="2" t="str">
        <f t="shared" si="4"/>
        <v/>
      </c>
      <c r="AC56" s="2" t="str">
        <f t="shared" si="5"/>
        <v/>
      </c>
      <c r="AD56" s="2" t="str">
        <f t="shared" si="6"/>
        <v/>
      </c>
    </row>
    <row r="57" spans="1:30" x14ac:dyDescent="0.25">
      <c r="D57" t="str">
        <f t="shared" si="7"/>
        <v/>
      </c>
      <c r="F57" s="2" t="str">
        <f t="shared" si="4"/>
        <v/>
      </c>
      <c r="AC57" s="2" t="str">
        <f t="shared" si="5"/>
        <v/>
      </c>
      <c r="AD57" s="2" t="str">
        <f t="shared" si="6"/>
        <v/>
      </c>
    </row>
    <row r="58" spans="1:30" x14ac:dyDescent="0.25">
      <c r="D58" t="str">
        <f t="shared" si="7"/>
        <v/>
      </c>
      <c r="F58" s="2" t="str">
        <f t="shared" si="4"/>
        <v/>
      </c>
      <c r="AC58" s="2" t="str">
        <f t="shared" si="5"/>
        <v/>
      </c>
      <c r="AD58" s="2" t="str">
        <f t="shared" si="6"/>
        <v/>
      </c>
    </row>
    <row r="59" spans="1:30" x14ac:dyDescent="0.25">
      <c r="D59" t="str">
        <f t="shared" si="7"/>
        <v/>
      </c>
      <c r="F59" s="2" t="str">
        <f t="shared" si="4"/>
        <v/>
      </c>
      <c r="AC59" s="2" t="str">
        <f t="shared" si="5"/>
        <v/>
      </c>
      <c r="AD59" s="2" t="str">
        <f t="shared" si="6"/>
        <v/>
      </c>
    </row>
    <row r="60" spans="1:30" x14ac:dyDescent="0.25">
      <c r="D60" t="str">
        <f t="shared" si="7"/>
        <v/>
      </c>
      <c r="F60" s="2" t="str">
        <f t="shared" si="4"/>
        <v/>
      </c>
      <c r="AC60" s="2" t="str">
        <f t="shared" si="5"/>
        <v/>
      </c>
      <c r="AD60" s="2" t="str">
        <f t="shared" si="6"/>
        <v/>
      </c>
    </row>
    <row r="61" spans="1:30" x14ac:dyDescent="0.25">
      <c r="D61" t="str">
        <f t="shared" si="7"/>
        <v/>
      </c>
      <c r="F61" s="2" t="str">
        <f t="shared" si="4"/>
        <v/>
      </c>
      <c r="G61" s="2" t="str">
        <f t="shared" ref="G61:W61" si="8">IF(OR(G$14="",$E61=""),"",F61)</f>
        <v/>
      </c>
      <c r="H61" s="2" t="str">
        <f t="shared" si="8"/>
        <v/>
      </c>
      <c r="I61" s="2" t="str">
        <f t="shared" si="8"/>
        <v/>
      </c>
      <c r="J61" s="2" t="str">
        <f t="shared" si="8"/>
        <v/>
      </c>
      <c r="K61" s="2" t="str">
        <f t="shared" si="8"/>
        <v/>
      </c>
      <c r="L61" s="2" t="str">
        <f t="shared" si="8"/>
        <v/>
      </c>
      <c r="M61" s="2" t="str">
        <f t="shared" si="8"/>
        <v/>
      </c>
      <c r="N61" s="2" t="str">
        <f t="shared" si="8"/>
        <v/>
      </c>
      <c r="O61" s="2" t="str">
        <f t="shared" si="8"/>
        <v/>
      </c>
      <c r="P61" s="2" t="str">
        <f t="shared" si="8"/>
        <v/>
      </c>
      <c r="Q61" s="2" t="str">
        <f t="shared" si="8"/>
        <v/>
      </c>
      <c r="R61" s="2" t="str">
        <f t="shared" si="8"/>
        <v/>
      </c>
      <c r="S61" s="2" t="str">
        <f t="shared" si="8"/>
        <v/>
      </c>
      <c r="T61" s="2" t="str">
        <f t="shared" si="8"/>
        <v/>
      </c>
      <c r="U61" s="2" t="str">
        <f t="shared" si="8"/>
        <v/>
      </c>
      <c r="V61" s="2" t="str">
        <f t="shared" si="8"/>
        <v/>
      </c>
      <c r="W61" s="2" t="str">
        <f t="shared" si="8"/>
        <v/>
      </c>
      <c r="AC61" s="2" t="str">
        <f t="shared" si="5"/>
        <v/>
      </c>
      <c r="AD61" s="2" t="str">
        <f t="shared" si="6"/>
        <v/>
      </c>
    </row>
    <row r="62" spans="1:30" x14ac:dyDescent="0.25">
      <c r="D62" t="str">
        <f t="shared" si="7"/>
        <v/>
      </c>
      <c r="F62" s="2" t="str">
        <f t="shared" si="4"/>
        <v/>
      </c>
      <c r="G62" s="2" t="str">
        <f t="shared" ref="G62:W62" si="9">IF(OR(G$14="",$E62=""),"",F62)</f>
        <v/>
      </c>
      <c r="H62" s="2" t="str">
        <f t="shared" si="9"/>
        <v/>
      </c>
      <c r="I62" s="2" t="str">
        <f t="shared" si="9"/>
        <v/>
      </c>
      <c r="J62" s="2" t="str">
        <f t="shared" si="9"/>
        <v/>
      </c>
      <c r="K62" s="2" t="str">
        <f t="shared" si="9"/>
        <v/>
      </c>
      <c r="L62" s="2" t="str">
        <f t="shared" si="9"/>
        <v/>
      </c>
      <c r="M62" s="2" t="str">
        <f t="shared" si="9"/>
        <v/>
      </c>
      <c r="N62" s="2" t="str">
        <f t="shared" si="9"/>
        <v/>
      </c>
      <c r="O62" s="2" t="str">
        <f t="shared" si="9"/>
        <v/>
      </c>
      <c r="P62" s="2" t="str">
        <f t="shared" si="9"/>
        <v/>
      </c>
      <c r="Q62" s="2" t="str">
        <f t="shared" si="9"/>
        <v/>
      </c>
      <c r="R62" s="2" t="str">
        <f t="shared" si="9"/>
        <v/>
      </c>
      <c r="S62" s="2" t="str">
        <f t="shared" si="9"/>
        <v/>
      </c>
      <c r="T62" s="2" t="str">
        <f t="shared" si="9"/>
        <v/>
      </c>
      <c r="U62" s="2" t="str">
        <f t="shared" si="9"/>
        <v/>
      </c>
      <c r="V62" s="2" t="str">
        <f t="shared" si="9"/>
        <v/>
      </c>
      <c r="W62" s="2" t="str">
        <f t="shared" si="9"/>
        <v/>
      </c>
      <c r="X62" s="2" t="str">
        <f>IF(OR(X$14="",$E61=""),"",W61)</f>
        <v/>
      </c>
      <c r="Y62" s="2" t="str">
        <f t="shared" ref="Y62:AB63" si="10">IF(OR(Y$14="",$E61=""),"",X62)</f>
        <v/>
      </c>
      <c r="Z62" s="2" t="str">
        <f t="shared" si="10"/>
        <v/>
      </c>
      <c r="AA62" s="2" t="str">
        <f t="shared" si="10"/>
        <v/>
      </c>
      <c r="AB62" s="2" t="str">
        <f t="shared" si="10"/>
        <v/>
      </c>
      <c r="AC62" s="2" t="str">
        <f t="shared" si="5"/>
        <v/>
      </c>
      <c r="AD62" s="2" t="str">
        <f t="shared" si="6"/>
        <v/>
      </c>
    </row>
    <row r="63" spans="1:30" x14ac:dyDescent="0.25">
      <c r="X63" s="2" t="str">
        <f>IF(OR(X$14="",$E62=""),"",W62)</f>
        <v/>
      </c>
      <c r="Y63" s="2" t="str">
        <f t="shared" si="10"/>
        <v/>
      </c>
      <c r="Z63" s="2" t="str">
        <f t="shared" si="10"/>
        <v/>
      </c>
      <c r="AA63" s="2" t="str">
        <f t="shared" si="10"/>
        <v/>
      </c>
      <c r="AB63" s="2" t="str">
        <f t="shared" si="10"/>
        <v/>
      </c>
      <c r="AC63" s="2" t="str">
        <f t="shared" si="5"/>
        <v/>
      </c>
      <c r="AD63" s="2" t="str">
        <f t="shared" si="6"/>
        <v/>
      </c>
    </row>
    <row r="64" spans="1:30" x14ac:dyDescent="0.25">
      <c r="A64" s="60"/>
      <c r="C64" s="60"/>
      <c r="AC64" s="2" t="str">
        <f>IF(OR(AC$14="",$E34=""),"",AB64)</f>
        <v/>
      </c>
      <c r="AD64" s="2" t="str">
        <f>IF(OR(AD$14="",$E34=""),"",AC64)</f>
        <v/>
      </c>
    </row>
    <row r="65" spans="1:30" x14ac:dyDescent="0.25">
      <c r="A65" s="60"/>
      <c r="C65" s="60"/>
      <c r="AC65" s="2" t="str">
        <f>IF(OR(AC$14="",$E64=""),"",AB65)</f>
        <v/>
      </c>
      <c r="AD65" s="2" t="str">
        <f>IF(OR(AD$14="",$E64=""),"",AC65)</f>
        <v/>
      </c>
    </row>
    <row r="66" spans="1:30" x14ac:dyDescent="0.25">
      <c r="AC66" s="2" t="str">
        <f>IF(OR(AC$14="",$E65=""),"",AB66)</f>
        <v/>
      </c>
      <c r="AD66" s="2" t="str">
        <f>IF(OR(AD$14="",$E65=""),"",AC66)</f>
        <v/>
      </c>
    </row>
    <row r="70" spans="1:30" x14ac:dyDescent="0.25">
      <c r="D70" t="str">
        <f>IF(A70&lt;&gt;"","Planned","")</f>
        <v/>
      </c>
    </row>
  </sheetData>
  <sortState xmlns:xlrd2="http://schemas.microsoft.com/office/spreadsheetml/2017/richdata2" ref="A15:AD69">
    <sortCondition ref="B14"/>
    <sortCondition ref="D14"/>
  </sortState>
  <phoneticPr fontId="2" type="noConversion"/>
  <conditionalFormatting sqref="B35:D35 B33:C34 A64:W64 B26:B30 T26:AD26 T24:AD24 C30:C32 B15:B18 A33 D15:D35 A37:W62 B36:W36">
    <cfRule type="expression" dxfId="47" priority="39" stopIfTrue="1">
      <formula>$D15="Done"</formula>
    </cfRule>
    <cfRule type="expression" dxfId="46" priority="40" stopIfTrue="1">
      <formula>$D15="Ongoing"</formula>
    </cfRule>
  </conditionalFormatting>
  <conditionalFormatting sqref="B19">
    <cfRule type="expression" dxfId="45" priority="37" stopIfTrue="1">
      <formula>$D19="Done"</formula>
    </cfRule>
    <cfRule type="expression" dxfId="44" priority="38" stopIfTrue="1">
      <formula>$D19="Ongoing"</formula>
    </cfRule>
  </conditionalFormatting>
  <conditionalFormatting sqref="B20">
    <cfRule type="expression" dxfId="43" priority="35" stopIfTrue="1">
      <formula>$D20="Done"</formula>
    </cfRule>
    <cfRule type="expression" dxfId="42" priority="36" stopIfTrue="1">
      <formula>$D20="Ongoing"</formula>
    </cfRule>
  </conditionalFormatting>
  <conditionalFormatting sqref="B21:B22">
    <cfRule type="expression" dxfId="41" priority="33" stopIfTrue="1">
      <formula>$D21="Done"</formula>
    </cfRule>
    <cfRule type="expression" dxfId="40" priority="34" stopIfTrue="1">
      <formula>$D21="Ongoing"</formula>
    </cfRule>
  </conditionalFormatting>
  <conditionalFormatting sqref="B23:B24">
    <cfRule type="expression" dxfId="39" priority="31" stopIfTrue="1">
      <formula>$D23="Done"</formula>
    </cfRule>
    <cfRule type="expression" dxfId="38" priority="32" stopIfTrue="1">
      <formula>$D23="Ongoing"</formula>
    </cfRule>
  </conditionalFormatting>
  <conditionalFormatting sqref="B25">
    <cfRule type="expression" dxfId="37" priority="29" stopIfTrue="1">
      <formula>$D25="Done"</formula>
    </cfRule>
    <cfRule type="expression" dxfId="36" priority="30" stopIfTrue="1">
      <formula>$D25="Ongoing"</formula>
    </cfRule>
  </conditionalFormatting>
  <conditionalFormatting sqref="Z33:AO33">
    <cfRule type="expression" dxfId="35" priority="67" stopIfTrue="1">
      <formula>#REF!="Done"</formula>
    </cfRule>
    <cfRule type="expression" dxfId="34" priority="68" stopIfTrue="1">
      <formula>#REF!="Ongoing"</formula>
    </cfRule>
  </conditionalFormatting>
  <conditionalFormatting sqref="X36:AD36 M35:AD35">
    <cfRule type="expression" dxfId="31" priority="75" stopIfTrue="1">
      <formula>#REF!="Done"</formula>
    </cfRule>
    <cfRule type="expression" dxfId="30" priority="76" stopIfTrue="1">
      <formula>#REF!="Ongoing"</formula>
    </cfRule>
  </conditionalFormatting>
  <conditionalFormatting sqref="S63:W63">
    <cfRule type="expression" dxfId="29" priority="93" stopIfTrue="1">
      <formula>$D34="Done"</formula>
    </cfRule>
    <cfRule type="expression" dxfId="28" priority="94" stopIfTrue="1">
      <formula>$D34="Ongoing"</formula>
    </cfRule>
  </conditionalFormatting>
  <conditionalFormatting sqref="AA34:AD34">
    <cfRule type="expression" dxfId="27" priority="97" stopIfTrue="1">
      <formula>$D35="Done"</formula>
    </cfRule>
    <cfRule type="expression" dxfId="26" priority="98" stopIfTrue="1">
      <formula>$D35="Ongoing"</formula>
    </cfRule>
  </conditionalFormatting>
  <conditionalFormatting sqref="X65:AD65 X37:AD63">
    <cfRule type="expression" dxfId="25" priority="99" stopIfTrue="1">
      <formula>$D36="Done"</formula>
    </cfRule>
    <cfRule type="expression" dxfId="24" priority="100" stopIfTrue="1">
      <formula>$D36="Ongoing"</formula>
    </cfRule>
  </conditionalFormatting>
  <conditionalFormatting sqref="X64:AD64">
    <cfRule type="expression" dxfId="23" priority="147" stopIfTrue="1">
      <formula>$D34="Done"</formula>
    </cfRule>
    <cfRule type="expression" dxfId="22" priority="148" stopIfTrue="1">
      <formula>$D34="Ongoing"</formula>
    </cfRule>
  </conditionalFormatting>
  <conditionalFormatting sqref="A15:A19">
    <cfRule type="expression" dxfId="21" priority="13" stopIfTrue="1">
      <formula>$D18="Done"</formula>
    </cfRule>
    <cfRule type="expression" dxfId="20" priority="14" stopIfTrue="1">
      <formula>$D18="Ongoing"</formula>
    </cfRule>
  </conditionalFormatting>
  <conditionalFormatting sqref="A20">
    <cfRule type="expression" dxfId="19" priority="11" stopIfTrue="1">
      <formula>$D23="Done"</formula>
    </cfRule>
    <cfRule type="expression" dxfId="18" priority="12" stopIfTrue="1">
      <formula>$D23="Ongoing"</formula>
    </cfRule>
  </conditionalFormatting>
  <conditionalFormatting sqref="A32 A21:A22 A29">
    <cfRule type="expression" dxfId="17" priority="9" stopIfTrue="1">
      <formula>$D25="Done"</formula>
    </cfRule>
    <cfRule type="expression" dxfId="16" priority="10" stopIfTrue="1">
      <formula>$D25="Ongoing"</formula>
    </cfRule>
  </conditionalFormatting>
  <conditionalFormatting sqref="A22">
    <cfRule type="expression" dxfId="15" priority="7" stopIfTrue="1">
      <formula>$D26="Done"</formula>
    </cfRule>
    <cfRule type="expression" dxfId="14" priority="8" stopIfTrue="1">
      <formula>$D26="Ongoing"</formula>
    </cfRule>
  </conditionalFormatting>
  <conditionalFormatting sqref="A28">
    <cfRule type="expression" dxfId="13" priority="5" stopIfTrue="1">
      <formula>$D33="Done"</formula>
    </cfRule>
    <cfRule type="expression" dxfId="12" priority="6" stopIfTrue="1">
      <formula>$D33="Ongoing"</formula>
    </cfRule>
  </conditionalFormatting>
  <conditionalFormatting sqref="A21">
    <cfRule type="expression" dxfId="11" priority="3" stopIfTrue="1">
      <formula>$D25="Done"</formula>
    </cfRule>
    <cfRule type="expression" dxfId="10" priority="4" stopIfTrue="1">
      <formula>$D25="Ongoing"</formula>
    </cfRule>
  </conditionalFormatting>
  <conditionalFormatting sqref="A23:A24">
    <cfRule type="expression" dxfId="9" priority="1" stopIfTrue="1">
      <formula>$D30="Done"</formula>
    </cfRule>
    <cfRule type="expression" dxfId="8" priority="2" stopIfTrue="1">
      <formula>$D30="Ongoing"</formula>
    </cfRule>
  </conditionalFormatting>
  <conditionalFormatting sqref="A30">
    <cfRule type="expression" dxfId="7" priority="153" stopIfTrue="1">
      <formula>$D35="Done"</formula>
    </cfRule>
    <cfRule type="expression" dxfId="6" priority="154" stopIfTrue="1">
      <formula>$D35="Ongoing"</formula>
    </cfRule>
  </conditionalFormatting>
  <conditionalFormatting sqref="A25:A26">
    <cfRule type="expression" dxfId="5" priority="155" stopIfTrue="1">
      <formula>$D31="Done"</formula>
    </cfRule>
    <cfRule type="expression" dxfId="4" priority="156" stopIfTrue="1">
      <formula>$D31="Ongoing"</formula>
    </cfRule>
  </conditionalFormatting>
  <dataValidations count="1">
    <dataValidation type="list" allowBlank="1" showInputMessage="1" sqref="D3:D8 D64:D70 D15:D62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2020-11-29T05:11:41Z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